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3.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4.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worksheets/sheet5.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worksheets/sheet6.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7.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worksheets/sheet8.xml" ContentType="application/vnd.openxmlformats-officedocument.spreadsheetml.worksheet+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worksheets/sheet9.xml" ContentType="application/vnd.openxmlformats-officedocument.spreadsheetml.worksheet+xml"/>
  <Override PartName="/xl/tables/table48.xml" ContentType="application/vnd.openxmlformats-officedocument.spreadsheetml.table+xml"/>
  <Override PartName="/xl/worksheets/sheet10.xml" ContentType="application/vnd.openxmlformats-officedocument.spreadsheetml.worksheet+xml"/>
  <Override PartName="/xl/tables/table49.xml" ContentType="application/vnd.openxmlformats-officedocument.spreadsheetml.table+xml"/>
  <Override PartName="/xl/worksheets/sheet11.xml" ContentType="application/vnd.openxmlformats-officedocument.spreadsheetml.worksheet+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worksheets/sheet12.xml" ContentType="application/vnd.openxmlformats-officedocument.spreadsheetml.worksheet+xml"/>
  <Override PartName="/xl/tables/table56.xml" ContentType="application/vnd.openxmlformats-officedocument.spreadsheetml.table+xml"/>
  <Override PartName="/xl/worksheets/sheet13.xml" ContentType="application/vnd.openxmlformats-officedocument.spreadsheetml.worksheet+xml"/>
  <Override PartName="/xl/tables/table57.xml" ContentType="application/vnd.openxmlformats-officedocument.spreadsheetml.table+xml"/>
  <Override PartName="/xl/worksheets/sheet14.xml" ContentType="application/vnd.openxmlformats-officedocument.spreadsheetml.worksheet+xml"/>
  <Override PartName="/xl/tables/table58.xml" ContentType="application/vnd.openxmlformats-officedocument.spreadsheetml.table+xml"/>
  <Override PartName="/xl/worksheets/sheet15.xml" ContentType="application/vnd.openxmlformats-officedocument.spreadsheetml.worksheet+xml"/>
  <Override PartName="/xl/tables/table59.xml" ContentType="application/vnd.openxmlformats-officedocument.spreadsheetml.table+xml"/>
  <Override PartName="/xl/worksheets/sheet16.xml" ContentType="application/vnd.openxmlformats-officedocument.spreadsheetml.worksheet+xml"/>
  <Override PartName="/xl/tables/table60.xml" ContentType="application/vnd.openxmlformats-officedocument.spreadsheetml.table+xml"/>
  <Override PartName="/xl/worksheets/sheet17.xml" ContentType="application/vnd.openxmlformats-officedocument.spreadsheetml.worksheet+xml"/>
  <Override PartName="/xl/tables/table61.xml" ContentType="application/vnd.openxmlformats-officedocument.spreadsheetml.table+xml"/>
  <Override PartName="/xl/worksheets/sheet18.xml" ContentType="application/vnd.openxmlformats-officedocument.spreadsheetml.worksheet+xml"/>
  <Override PartName="/xl/tables/table62.xml" ContentType="application/vnd.openxmlformats-officedocument.spreadsheetml.table+xml"/>
  <Override PartName="/xl/worksheets/sheet19.xml" ContentType="application/vnd.openxmlformats-officedocument.spreadsheetml.worksheet+xml"/>
  <Override PartName="/xl/tables/table63.xml" ContentType="application/vnd.openxmlformats-officedocument.spreadsheetml.table+xml"/>
  <Override PartName="/xl/worksheets/sheet20.xml" ContentType="application/vnd.openxmlformats-officedocument.spreadsheetml.worksheet+xml"/>
  <Override PartName="/xl/tables/table64.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65.xml" ContentType="application/vnd.openxmlformats-officedocument.spreadsheetml.table+xml"/>
  <Override PartName="/xl/worksheets/sheet23.xml" ContentType="application/vnd.openxmlformats-officedocument.spreadsheetml.worksheet+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5ded8a82e24d61" /></Relationships>
</file>

<file path=xl/workbook.xml><?xml version="1.0" encoding="utf-8"?>
<x:workbook xmlns:x="http://schemas.openxmlformats.org/spreadsheetml/2006/main">
  <x:sheets>
    <x:sheet xmlns:r="http://schemas.openxmlformats.org/officeDocument/2006/relationships" name="Force Builder" sheetId="27" r:id="R0e643185238a40bc"/>
    <x:sheet xmlns:r="http://schemas.openxmlformats.org/officeDocument/2006/relationships" name="Clan Light 'Mechs" sheetId="2" r:id="R8145919f80fe45e1"/>
    <x:sheet xmlns:r="http://schemas.openxmlformats.org/officeDocument/2006/relationships" name="Clan Medium 'Mechs" sheetId="3" r:id="R23105389e96740d9"/>
    <x:sheet xmlns:r="http://schemas.openxmlformats.org/officeDocument/2006/relationships" name="Clan Heavy 'Mechs" sheetId="4" r:id="R1c2a1337682a4333"/>
    <x:sheet xmlns:r="http://schemas.openxmlformats.org/officeDocument/2006/relationships" name="Clan Assault 'Mechs" sheetId="5" r:id="R1e1ea7a0079349fe"/>
    <x:sheet xmlns:r="http://schemas.openxmlformats.org/officeDocument/2006/relationships" name="Clan Formations" sheetId="1" r:id="R8adcc37915604df9"/>
    <x:sheet xmlns:r="http://schemas.openxmlformats.org/officeDocument/2006/relationships" name="ComStar 'Mechs" sheetId="24" r:id="R65720d139bb34efd"/>
    <x:sheet xmlns:r="http://schemas.openxmlformats.org/officeDocument/2006/relationships" name="ComStar Formations" sheetId="14" r:id="R18d14ca24c874e89"/>
    <x:sheet xmlns:r="http://schemas.openxmlformats.org/officeDocument/2006/relationships" name="Commands" sheetId="13" r:id="R75c7f45030a04fa0"/>
    <x:sheet xmlns:r="http://schemas.openxmlformats.org/officeDocument/2006/relationships" name="CommandMatchups" sheetId="28" r:id="Rbad6047f4a7644d5"/>
    <x:sheet xmlns:r="http://schemas.openxmlformats.org/officeDocument/2006/relationships" name="Force Building Tables" sheetId="15" r:id="R495ce09b607a4e60"/>
    <x:sheet xmlns:r="http://schemas.openxmlformats.org/officeDocument/2006/relationships" name="Formation General Rules" sheetId="16" r:id="R26ae3e0f5348446c"/>
    <x:sheet xmlns:r="http://schemas.openxmlformats.org/officeDocument/2006/relationships" name="Formation Catalog" sheetId="17" r:id="R38c630b8c4ba4908"/>
    <x:sheet xmlns:r="http://schemas.openxmlformats.org/officeDocument/2006/relationships" name="Formation Requirements" sheetId="18" r:id="R96bc31abb58e4dc0"/>
    <x:sheet xmlns:r="http://schemas.openxmlformats.org/officeDocument/2006/relationships" name="Formation Bonuses" sheetId="19" r:id="R62fa8ca72679427c"/>
    <x:sheet xmlns:r="http://schemas.openxmlformats.org/officeDocument/2006/relationships" name="Clan Formation Names" sheetId="20" r:id="Rea3bda5753cd4049"/>
    <x:sheet xmlns:r="http://schemas.openxmlformats.org/officeDocument/2006/relationships" name="Normalized Units" sheetId="21" r:id="R3edfe93daf2646b4"/>
    <x:sheet xmlns:r="http://schemas.openxmlformats.org/officeDocument/2006/relationships" name="RAT Aliases" sheetId="22" r:id="R7b2c95c4dcc94659"/>
    <x:sheet xmlns:r="http://schemas.openxmlformats.org/officeDocument/2006/relationships" name="Change Log" sheetId="23" r:id="R6d9ea98db3364e20"/>
    <x:sheet xmlns:r="http://schemas.openxmlformats.org/officeDocument/2006/relationships" name="RAT Reconciliation" sheetId="25" r:id="R189f63de55fd48af"/>
    <x:sheet xmlns:r="http://schemas.openxmlformats.org/officeDocument/2006/relationships" name="Force Builder Lists" sheetId="26" r:id="R2158cc8f65154f72"/>
    <x:sheet xmlns:r="http://schemas.openxmlformats.org/officeDocument/2006/relationships" name="Force Composition Mapping" sheetId="29" r:id="R99b1143fd7614104"/>
    <x:sheet xmlns:r="http://schemas.openxmlformats.org/officeDocument/2006/relationships" name="Formation Roll Mapping" sheetId="30" r:id="R020758721e494d15"/>
    <x:sheet xmlns:r="http://schemas.openxmlformats.org/officeDocument/2006/relationships" name="Battlefield Support" sheetId="31" r:id="R4e2b624bd799420b"/>
    <x:sheet xmlns:r="http://schemas.openxmlformats.org/officeDocument/2006/relationships" name="BFS Emplacements" sheetId="32" r:id="Rdbeebbf913114095"/>
  </x:sheets>
</x:workbook>
</file>

<file path=xl/sharedStrings.xml><?xml version="1.0" encoding="utf-8"?>
<x:sst xmlns:x="http://schemas.openxmlformats.org/spreadsheetml/2006/main">
  <x:si>
    <x:t xml:space="preserve">BATTLETECH FORCE BUILDER</x:t>
  </x:si>
  <x:si>
    <x:t xml:space="preserve">Step 1 — Select the playable side and unit, then choose physical dice or workbook RNG.</x:t>
  </x:si>
  <x:si>
    <x:t xml:space="preserve">CAMPAIGN SETTINGS</x:t>
  </x:si>
  <x:si>
    <x:t xml:space="preserve">ROLL SETTINGS</x:t>
  </x:si>
  <x:si>
    <x:t xml:space="preserve">Era Enforcement</x:t>
  </x:si>
  <x:si>
    <x:t xml:space="preserve">Forced</x:t>
  </x:si>
  <x:si>
    <x:t xml:space="preserve">Roll Mode</x:t>
  </x:si>
  <x:si>
    <x:t xml:space="preserve">Manual Roll</x:t>
  </x:si>
  <x:si>
    <x:t xml:space="preserve">Campaign Date</x:t>
  </x:si>
  <x:si>
    <x:t xml:space="preserve">May 3052</x:t>
  </x:si>
  <x:si>
    <x:t xml:space="preserve">FORCE SELECTION</x:t>
  </x:si>
  <x:si>
    <x:t xml:space="preserve">SELECTED PLAYABLE UNIT</x:t>
  </x:si>
  <x:si>
    <x:t xml:space="preserve">Playing As</x:t>
  </x:si>
  <x:si>
    <x:t xml:space="preserve">Active Unit</x:t>
  </x:si>
  <x:si>
    <x:t xml:space="preserve">Clan Smoke Jaguar</x:t>
  </x:si>
  <x:si>
    <x:t xml:space="preserve">Commander</x:t>
  </x:si>
  <x:si>
    <x:t xml:space="preserve">Experience</x:t>
  </x:si>
  <x:si>
    <x:t xml:space="preserve">Equipment Level</x:t>
  </x:si>
  <x:si>
    <x:t xml:space="preserve">Force Composition</x:t>
  </x:si>
  <x:si>
    <x:t xml:space="preserve">Battle Star</x:t>
  </x:si>
  <x:si>
    <x:t xml:space="preserve">2d6</x:t>
  </x:si>
  <x:si>
    <x:t xml:space="preserve">Clan Diamond Shark</x:t>
  </x:si>
  <x:si>
    <x:t xml:space="preserve">Clan Ghost Bear</x:t>
  </x:si>
  <x:si>
    <x:t xml:space="preserve">Jade Falcon</x:t>
  </x:si>
  <x:si>
    <x:t xml:space="preserve">Clan Nova Cat</x:t>
  </x:si>
  <x:si>
    <x:t xml:space="preserve">Clan Steel Viper</x:t>
  </x:si>
  <x:si>
    <x:t xml:space="preserve">Wolf</x:t>
  </x:si>
  <x:si>
    <x:t xml:space="preserve">Kit Fox S</x:t>
  </x:si>
  <x:si>
    <x:t xml:space="preserve">Fire Moth Prime</x:t>
  </x:si>
  <x:si>
    <x:t xml:space="preserve">Fire Falcon Prime</x:t>
  </x:si>
  <x:si>
    <x:t xml:space="preserve">Adder Prime</x:t>
  </x:si>
  <x:si>
    <x:t xml:space="preserve">Arctic Cheetah Prime</x:t>
  </x:si>
  <x:si>
    <x:t xml:space="preserve">Adder B</x:t>
  </x:si>
  <x:si>
    <x:t xml:space="preserve">Fire Moth B</x:t>
  </x:si>
  <x:si>
    <x:t xml:space="preserve">Kit Fox Prime</x:t>
  </x:si>
  <x:si>
    <x:t xml:space="preserve">Mist Lynx B</x:t>
  </x:si>
  <x:si>
    <x:t xml:space="preserve">Adder TC</x:t>
  </x:si>
  <x:si>
    <x:t xml:space="preserve">Arctic Cheetah A</x:t>
  </x:si>
  <x:si>
    <x:t xml:space="preserve">Adder S</x:t>
  </x:si>
  <x:si>
    <x:t xml:space="preserve">Fire Falcon C</x:t>
  </x:si>
  <x:si>
    <x:t xml:space="preserve">Fire Star</x:t>
  </x:si>
  <x:si>
    <x:t xml:space="preserve">Kit Fox D</x:t>
  </x:si>
  <x:si>
    <x:t xml:space="preserve">Kit Fox C</x:t>
  </x:si>
  <x:si>
    <x:t xml:space="preserve">Arctic Cheetah D</x:t>
  </x:si>
  <x:si>
    <x:t xml:space="preserve">Fire Falcon B</x:t>
  </x:si>
  <x:si>
    <x:t xml:space="preserve">Adder A</x:t>
  </x:si>
  <x:si>
    <x:t xml:space="preserve">Mist Lynx A</x:t>
  </x:si>
  <x:si>
    <x:t xml:space="preserve">Kit Fox A</x:t>
  </x:si>
  <x:si>
    <x:t xml:space="preserve">Adder C</x:t>
  </x:si>
  <x:si>
    <x:t xml:space="preserve">Adder D</x:t>
  </x:si>
  <x:si>
    <x:t xml:space="preserve">Fire Falcon A</x:t>
  </x:si>
  <x:si>
    <x:t xml:space="preserve">Striker Star</x:t>
  </x:si>
  <x:si>
    <x:t xml:space="preserve">Mist Lynx D</x:t>
  </x:si>
  <x:si>
    <x:t xml:space="preserve">Fire Moth A</x:t>
  </x:si>
  <x:si>
    <x:t xml:space="preserve">Mist Lynx C</x:t>
  </x:si>
  <x:si>
    <x:t xml:space="preserve">Kit Fox B</x:t>
  </x:si>
  <x:si>
    <x:t xml:space="preserve">Fire Falcon D</x:t>
  </x:si>
  <x:si>
    <x:t xml:space="preserve">Mist Lynx Prime</x:t>
  </x:si>
  <x:si>
    <x:t xml:space="preserve">Fire Moth D</x:t>
  </x:si>
  <x:si>
    <x:t xml:space="preserve">Arctic Cheetah B</x:t>
  </x:si>
  <x:si>
    <x:t xml:space="preserve">Second-Line</x:t>
  </x:si>
  <x:si>
    <x:t xml:space="preserve">1d6</x:t>
  </x:si>
  <x:si>
    <x:t xml:space="preserve">Horned Owl</x:t>
  </x:si>
  <x:si>
    <x:t xml:space="preserve">Incubus</x:t>
  </x:si>
  <x:si>
    <x:t xml:space="preserve">NTK-2Q Night Hawk</x:t>
  </x:si>
  <x:si>
    <x:t xml:space="preserve">Jenner IIC 2</x:t>
  </x:si>
  <x:si>
    <x:t xml:space="preserve">Horned Owl 2</x:t>
  </x:si>
  <x:si>
    <x:t xml:space="preserve">Horned Owl 3</x:t>
  </x:si>
  <x:si>
    <x:t xml:space="preserve">Horned Owl 4</x:t>
  </x:si>
  <x:si>
    <x:t xml:space="preserve">TLN-5W Talon</x:t>
  </x:si>
  <x:si>
    <x:t xml:space="preserve">Jenner IIC 3</x:t>
  </x:si>
  <x:si>
    <x:t xml:space="preserve">Howler</x:t>
  </x:si>
  <x:si>
    <x:t xml:space="preserve">Locust IIC 3</x:t>
  </x:si>
  <x:si>
    <x:t xml:space="preserve">Incubus 2</x:t>
  </x:si>
  <x:si>
    <x:t xml:space="preserve">THE-N Thorn</x:t>
  </x:si>
  <x:si>
    <x:t xml:space="preserve">Locust C</x:t>
  </x:si>
  <x:si>
    <x:t xml:space="preserve">MON-66 Mongoose</x:t>
  </x:si>
  <x:si>
    <x:t xml:space="preserve">Incubus 3</x:t>
  </x:si>
  <x:si>
    <x:t xml:space="preserve">STG-3Gb Stinger</x:t>
  </x:si>
  <x:si>
    <x:t xml:space="preserve">Jenner IIC</x:t>
  </x:si>
  <x:si>
    <x:t xml:space="preserve">Icestorm</x:t>
  </x:si>
  <x:si>
    <x:t xml:space="preserve">Locust IIC</x:t>
  </x:si>
  <x:si>
    <x:t xml:space="preserve">Locust IIC 2</x:t>
  </x:si>
  <x:si>
    <x:t xml:space="preserve">Firefly C</x:t>
  </x:si>
  <x:si>
    <x:t xml:space="preserve">Piranha</x:t>
  </x:si>
  <x:si>
    <x:t xml:space="preserve">OTT-7Jb Ostscout</x:t>
  </x:si>
  <x:si>
    <x:t xml:space="preserve">Assault Star</x:t>
  </x:si>
  <x:si>
    <x:t xml:space="preserve">Ice Ferret D</x:t>
  </x:si>
  <x:si>
    <x:t xml:space="preserve">Nova Prime</x:t>
  </x:si>
  <x:si>
    <x:t xml:space="preserve">Stormcrow Prime</x:t>
  </x:si>
  <x:si>
    <x:t xml:space="preserve">Nova S</x:t>
  </x:si>
  <x:si>
    <x:t xml:space="preserve">Huntsman B</x:t>
  </x:si>
  <x:si>
    <x:t xml:space="preserve">Stormcrow B</x:t>
  </x:si>
  <x:si>
    <x:t xml:space="preserve">Ice Ferret Prime</x:t>
  </x:si>
  <x:si>
    <x:t xml:space="preserve">Viper C</x:t>
  </x:si>
  <x:si>
    <x:t xml:space="preserve">Stormcrow C</x:t>
  </x:si>
  <x:si>
    <x:t xml:space="preserve">Black Lanner D</x:t>
  </x:si>
  <x:si>
    <x:t xml:space="preserve">Viper Prime</x:t>
  </x:si>
  <x:si>
    <x:t xml:space="preserve">Grendel Prime</x:t>
  </x:si>
  <x:si>
    <x:t xml:space="preserve">Ice Ferret A</x:t>
  </x:si>
  <x:si>
    <x:t xml:space="preserve">Stormcrow A</x:t>
  </x:si>
  <x:si>
    <x:t xml:space="preserve">Huntsman Prime</x:t>
  </x:si>
  <x:si>
    <x:t xml:space="preserve">Nova A</x:t>
  </x:si>
  <x:si>
    <x:t xml:space="preserve">Viper D</x:t>
  </x:si>
  <x:si>
    <x:t xml:space="preserve">Shadow Cat Prime</x:t>
  </x:si>
  <x:si>
    <x:t xml:space="preserve">Stooping Hawk B</x:t>
  </x:si>
  <x:si>
    <x:t xml:space="preserve">Ice Ferret B</x:t>
  </x:si>
  <x:si>
    <x:t xml:space="preserve">Black Lanner A</x:t>
  </x:si>
  <x:si>
    <x:t xml:space="preserve">Stormcrow TC</x:t>
  </x:si>
  <x:si>
    <x:t xml:space="preserve">Pouncer C</x:t>
  </x:si>
  <x:si>
    <x:t xml:space="preserve">Nova D</x:t>
  </x:si>
  <x:si>
    <x:t xml:space="preserve">Huntsman C</x:t>
  </x:si>
  <x:si>
    <x:t xml:space="preserve">Stormcrow D</x:t>
  </x:si>
  <x:si>
    <x:t xml:space="preserve">Shadow Cat B</x:t>
  </x:si>
  <x:si>
    <x:t xml:space="preserve">Nova B</x:t>
  </x:si>
  <x:si>
    <x:t xml:space="preserve">Stooping Hawk A</x:t>
  </x:si>
  <x:si>
    <x:t xml:space="preserve">Pouncer A</x:t>
  </x:si>
  <x:si>
    <x:t xml:space="preserve">Viper B</x:t>
  </x:si>
  <x:si>
    <x:t xml:space="preserve">Huntsman A</x:t>
  </x:si>
  <x:si>
    <x:t xml:space="preserve">Ice Ferret C</x:t>
  </x:si>
  <x:si>
    <x:t xml:space="preserve">Battle Cobra Prime</x:t>
  </x:si>
  <x:si>
    <x:t xml:space="preserve">Nova C</x:t>
  </x:si>
  <x:si>
    <x:t xml:space="preserve">Battle Cobra B</x:t>
  </x:si>
  <x:si>
    <x:t xml:space="preserve">Grendel A</x:t>
  </x:si>
  <x:si>
    <x:t xml:space="preserve">Stormcrow Attwater</x:t>
  </x:si>
  <x:si>
    <x:t xml:space="preserve">Black Lanner B</x:t>
  </x:si>
  <x:si>
    <x:t xml:space="preserve">Shadow Cat A</x:t>
  </x:si>
  <x:si>
    <x:t xml:space="preserve">Black Lanner Prime</x:t>
  </x:si>
  <x:si>
    <x:t xml:space="preserve">Grendel D</x:t>
  </x:si>
  <x:si>
    <x:t xml:space="preserve">Stooping Hawk Prime</x:t>
  </x:si>
  <x:si>
    <x:t xml:space="preserve">Grendel B</x:t>
  </x:si>
  <x:si>
    <x:t xml:space="preserve">Pouncer Prime</x:t>
  </x:si>
  <x:si>
    <x:t xml:space="preserve">Viper A</x:t>
  </x:si>
  <x:si>
    <x:t xml:space="preserve">Shadow Cat TC</x:t>
  </x:si>
  <x:si>
    <x:t xml:space="preserve">Grendel C</x:t>
  </x:si>
  <x:si>
    <x:t xml:space="preserve">Pouncer B</x:t>
  </x:si>
  <x:si>
    <x:t xml:space="preserve">Black Lanner C</x:t>
  </x:si>
  <x:si>
    <x:t xml:space="preserve">HOP-4Bb Hoplite</x:t>
  </x:si>
  <x:si>
    <x:t xml:space="preserve">Hunchback IIC</x:t>
  </x:si>
  <x:si>
    <x:t xml:space="preserve">Wyvern IIC</x:t>
  </x:si>
  <x:si>
    <x:t xml:space="preserve">KTO-19b/KTO-19 Kintaro</x:t>
  </x:si>
  <x:si>
    <x:t xml:space="preserve">HOP-4Cb Hoplite</x:t>
  </x:si>
  <x:si>
    <x:t xml:space="preserve">Griffin IIC 2</x:t>
  </x:si>
  <x:si>
    <x:t xml:space="preserve">Griffin IIC 3</x:t>
  </x:si>
  <x:si>
    <x:t xml:space="preserve">Griffin IIC 4</x:t>
  </x:si>
  <x:si>
    <x:t xml:space="preserve">Griffin IIC 5</x:t>
  </x:si>
  <x:si>
    <x:t xml:space="preserve">Griffin IIC 6</x:t>
  </x:si>
  <x:si>
    <x:t xml:space="preserve">Griffin IIC 7</x:t>
  </x:si>
  <x:si>
    <x:t xml:space="preserve">Griffin IIC 8</x:t>
  </x:si>
  <x:si>
    <x:t xml:space="preserve">Great Wyrm</x:t>
  </x:si>
  <x:si>
    <x:t xml:space="preserve">SHD-2Hb Shadow Hawk</x:t>
  </x:si>
  <x:si>
    <x:t xml:space="preserve">Shadow Hawk IIC</x:t>
  </x:si>
  <x:si>
    <x:t xml:space="preserve">LNX-9Q Lynx</x:t>
  </x:si>
  <x:si>
    <x:t xml:space="preserve">CRB-27b Crab</x:t>
  </x:si>
  <x:si>
    <x:t xml:space="preserve">Griffin IIC</x:t>
  </x:si>
  <x:si>
    <x:t xml:space="preserve">Clint IIC</x:t>
  </x:si>
  <x:si>
    <x:t xml:space="preserve">GRF-2N Griffin</x:t>
  </x:si>
  <x:si>
    <x:t xml:space="preserve">Vapor Eagle 2</x:t>
  </x:si>
  <x:si>
    <x:t xml:space="preserve">Vapor Eagle 3</x:t>
  </x:si>
  <x:si>
    <x:t xml:space="preserve">Vapor Eagle 4</x:t>
  </x:si>
  <x:si>
    <x:t xml:space="preserve">Vapor Eagle 5</x:t>
  </x:si>
  <x:si>
    <x:t xml:space="preserve">Vapor Eagle 6</x:t>
  </x:si>
  <x:si>
    <x:t xml:space="preserve">Vapor Eagle 7</x:t>
  </x:si>
  <x:si>
    <x:t xml:space="preserve">Vapor Eagle 8</x:t>
  </x:si>
  <x:si>
    <x:t xml:space="preserve">Shadow Hawk IIC 2</x:t>
  </x:si>
  <x:si>
    <x:t xml:space="preserve">Shadow Hawk IIC 3</x:t>
  </x:si>
  <x:si>
    <x:t xml:space="preserve">Shadow Hawk IIC 4</x:t>
  </x:si>
  <x:si>
    <x:t xml:space="preserve">Shadow Hawk IIC 5</x:t>
  </x:si>
  <x:si>
    <x:t xml:space="preserve">Shadow Hawk IIC 6</x:t>
  </x:si>
  <x:si>
    <x:t xml:space="preserve">Shadow Hawk IIC 7</x:t>
  </x:si>
  <x:si>
    <x:t xml:space="preserve">Shadow Hawk IIC 8</x:t>
  </x:si>
  <x:si>
    <x:t xml:space="preserve">WVE-5Nb Wyvern</x:t>
  </x:si>
  <x:si>
    <x:t xml:space="preserve">Vapor Eagle</x:t>
  </x:si>
  <x:si>
    <x:t xml:space="preserve">Conjurer</x:t>
  </x:si>
  <x:si>
    <x:t xml:space="preserve">CRB-27 Crab</x:t>
  </x:si>
  <x:si>
    <x:t xml:space="preserve">Shadow Hawk C</x:t>
  </x:si>
  <x:si>
    <x:t xml:space="preserve">Mad Dog B</x:t>
  </x:si>
  <x:si>
    <x:t xml:space="preserve">Ebon Jaguar A</x:t>
  </x:si>
  <x:si>
    <x:t xml:space="preserve">Timber Wolf Prime</x:t>
  </x:si>
  <x:si>
    <x:t xml:space="preserve">Crossbow Prime</x:t>
  </x:si>
  <x:si>
    <x:t xml:space="preserve">Summoner C</x:t>
  </x:si>
  <x:si>
    <x:t xml:space="preserve">Mad Dog D</x:t>
  </x:si>
  <x:si>
    <x:t xml:space="preserve">Summoner D</x:t>
  </x:si>
  <x:si>
    <x:t xml:space="preserve">Timber Wolf S</x:t>
  </x:si>
  <x:si>
    <x:t xml:space="preserve">Mad Dog S</x:t>
  </x:si>
  <x:si>
    <x:t xml:space="preserve">Timber Wolf D</x:t>
  </x:si>
  <x:si>
    <x:t xml:space="preserve">Crossbow A</x:t>
  </x:si>
  <x:si>
    <x:t xml:space="preserve">Ebon Jaguar Prime</x:t>
  </x:si>
  <x:si>
    <x:t xml:space="preserve">Night Gyr C</x:t>
  </x:si>
  <x:si>
    <x:t xml:space="preserve">Mad Dog Prime</x:t>
  </x:si>
  <x:si>
    <x:t xml:space="preserve">Summoner Prime</x:t>
  </x:si>
  <x:si>
    <x:t xml:space="preserve">Hellbringer Prime</x:t>
  </x:si>
  <x:si>
    <x:t xml:space="preserve">Hellbringer B</x:t>
  </x:si>
  <x:si>
    <x:t xml:space="preserve">Night Gyr Prime</x:t>
  </x:si>
  <x:si>
    <x:t xml:space="preserve">Summoner A</x:t>
  </x:si>
  <x:si>
    <x:t xml:space="preserve">Timber Wolf TC</x:t>
  </x:si>
  <x:si>
    <x:t xml:space="preserve">Summoner B</x:t>
  </x:si>
  <x:si>
    <x:t xml:space="preserve">Timber Wolf B</x:t>
  </x:si>
  <x:si>
    <x:t xml:space="preserve">Mad Dog C</x:t>
  </x:si>
  <x:si>
    <x:t xml:space="preserve">Summoner M</x:t>
  </x:si>
  <x:si>
    <x:t xml:space="preserve">Ebon Jaguar C</x:t>
  </x:si>
  <x:si>
    <x:t xml:space="preserve">Night Gyr D</x:t>
  </x:si>
  <x:si>
    <x:t xml:space="preserve">Hellbringer A</x:t>
  </x:si>
  <x:si>
    <x:t xml:space="preserve">Hellbringer M</x:t>
  </x:si>
  <x:si>
    <x:t xml:space="preserve">Timber Wolf C</x:t>
  </x:si>
  <x:si>
    <x:t xml:space="preserve">Ebon Jaguar B</x:t>
  </x:si>
  <x:si>
    <x:t xml:space="preserve">Linebacker A</x:t>
  </x:si>
  <x:si>
    <x:t xml:space="preserve">Linebacker D</x:t>
  </x:si>
  <x:si>
    <x:t xml:space="preserve">Night Gyr B</x:t>
  </x:si>
  <x:si>
    <x:t xml:space="preserve">Linebacker B</x:t>
  </x:si>
  <x:si>
    <x:t xml:space="preserve">Timber Wolf A</x:t>
  </x:si>
  <x:si>
    <x:t xml:space="preserve">Linebacker Prime</x:t>
  </x:si>
  <x:si>
    <x:t xml:space="preserve">Mad Dog A</x:t>
  </x:si>
  <x:si>
    <x:t xml:space="preserve">Night Gyr A</x:t>
  </x:si>
  <x:si>
    <x:t xml:space="preserve">Hellbringer C</x:t>
  </x:si>
  <x:si>
    <x:t xml:space="preserve">Crossbow B</x:t>
  </x:si>
  <x:si>
    <x:t xml:space="preserve">Guillotine IIC</x:t>
  </x:si>
  <x:si>
    <x:t xml:space="preserve">Thunderbolt C</x:t>
  </x:si>
  <x:si>
    <x:t xml:space="preserve">BL-6b-KNT Black Knight</x:t>
  </x:si>
  <x:si>
    <x:t xml:space="preserve">Matador</x:t>
  </x:si>
  <x:si>
    <x:t xml:space="preserve">EXC-B2 Excalibur</x:t>
  </x:si>
  <x:si>
    <x:t xml:space="preserve">MAD-2R Marauder</x:t>
  </x:si>
  <x:si>
    <x:t xml:space="preserve">Glass Spider</x:t>
  </x:si>
  <x:si>
    <x:t xml:space="preserve">Marauder C</x:t>
  </x:si>
  <x:si>
    <x:t xml:space="preserve">WHM-6Rb Warhammer</x:t>
  </x:si>
  <x:si>
    <x:t xml:space="preserve">Warhammer C</x:t>
  </x:si>
  <x:si>
    <x:t xml:space="preserve">Rifleman IIC</x:t>
  </x:si>
  <x:si>
    <x:t xml:space="preserve">Grizzly</x:t>
  </x:si>
  <x:si>
    <x:t xml:space="preserve">TDR-5Sb Thunderbolt</x:t>
  </x:si>
  <x:si>
    <x:t xml:space="preserve">Glass Spider/BMB-12D Bombardier</x:t>
  </x:si>
  <x:si>
    <x:t xml:space="preserve">Rifleman IIC 2</x:t>
  </x:si>
  <x:si>
    <x:t xml:space="preserve">Rifleman IIC 3</x:t>
  </x:si>
  <x:si>
    <x:t xml:space="preserve">Rifleman IIC 4</x:t>
  </x:si>
  <x:si>
    <x:t xml:space="preserve">Rifleman IIC 5</x:t>
  </x:si>
  <x:si>
    <x:t xml:space="preserve">Rifleman IIC 6</x:t>
  </x:si>
  <x:si>
    <x:t xml:space="preserve">Rifleman IIC 7</x:t>
  </x:si>
  <x:si>
    <x:t xml:space="preserve">Rifleman IIC 8</x:t>
  </x:si>
  <x:si>
    <x:t xml:space="preserve">Rifleman C</x:t>
  </x:si>
  <x:si>
    <x:t xml:space="preserve">Glass Spider 2</x:t>
  </x:si>
  <x:si>
    <x:t xml:space="preserve">Bowman</x:t>
  </x:si>
  <x:si>
    <x:t xml:space="preserve">Archer C</x:t>
  </x:si>
  <x:si>
    <x:t xml:space="preserve">CRD-2R Crusader</x:t>
  </x:si>
  <x:si>
    <x:t xml:space="preserve">ARC-2Rb Archer</x:t>
  </x:si>
  <x:si>
    <x:t xml:space="preserve">LNC25-01 Lancelot</x:t>
  </x:si>
  <x:si>
    <x:t xml:space="preserve">Black Python</x:t>
  </x:si>
  <x:si>
    <x:t xml:space="preserve">FLS-8K Flashman</x:t>
  </x:si>
  <x:si>
    <x:t xml:space="preserve">Thresher</x:t>
  </x:si>
  <x:si>
    <x:t xml:space="preserve">Champion C</x:t>
  </x:si>
  <x:si>
    <x:t xml:space="preserve">Thresher 2</x:t>
  </x:si>
  <x:si>
    <x:t xml:space="preserve">OSR-2Cb Ostroc</x:t>
  </x:si>
  <x:si>
    <x:t xml:space="preserve">Gargoyle B</x:t>
  </x:si>
  <x:si>
    <x:t xml:space="preserve">Kingfisher A</x:t>
  </x:si>
  <x:si>
    <x:t xml:space="preserve">Gargoyle D</x:t>
  </x:si>
  <x:si>
    <x:t xml:space="preserve">Kingfisher Prime</x:t>
  </x:si>
  <x:si>
    <x:t xml:space="preserve">Dire Wolf A</x:t>
  </x:si>
  <x:si>
    <x:t xml:space="preserve">Dire Wolf Prime</x:t>
  </x:si>
  <x:si>
    <x:t xml:space="preserve">Turkina B</x:t>
  </x:si>
  <x:si>
    <x:t xml:space="preserve">Warhawk A</x:t>
  </x:si>
  <x:si>
    <x:t xml:space="preserve">Gargoyle C</x:t>
  </x:si>
  <x:si>
    <x:t xml:space="preserve">Executioner D</x:t>
  </x:si>
  <x:si>
    <x:t xml:space="preserve">Dire Wolf S</x:t>
  </x:si>
  <x:si>
    <x:t xml:space="preserve">Warhawk Prime</x:t>
  </x:si>
  <x:si>
    <x:t xml:space="preserve">Dire Wolf W</x:t>
  </x:si>
  <x:si>
    <x:t xml:space="preserve">Turkina C</x:t>
  </x:si>
  <x:si>
    <x:t xml:space="preserve">Warhawk B</x:t>
  </x:si>
  <x:si>
    <x:t xml:space="preserve">Kingfisher C</x:t>
  </x:si>
  <x:si>
    <x:t xml:space="preserve">Executioner Prime</x:t>
  </x:si>
  <x:si>
    <x:t xml:space="preserve">Executioner A</x:t>
  </x:si>
  <x:si>
    <x:t xml:space="preserve">Gargoyle A</x:t>
  </x:si>
  <x:si>
    <x:t xml:space="preserve">Warhawk D</x:t>
  </x:si>
  <x:si>
    <x:t xml:space="preserve">Gargoyle Prime</x:t>
  </x:si>
  <x:si>
    <x:t xml:space="preserve">Dire Wolf B</x:t>
  </x:si>
  <x:si>
    <x:t xml:space="preserve">Naga A</x:t>
  </x:si>
  <x:si>
    <x:t xml:space="preserve">Executioner C</x:t>
  </x:si>
  <x:si>
    <x:t xml:space="preserve">Kingfisher D</x:t>
  </x:si>
  <x:si>
    <x:t xml:space="preserve">Warhawk C</x:t>
  </x:si>
  <x:si>
    <x:t xml:space="preserve">Turkina Prime</x:t>
  </x:si>
  <x:si>
    <x:t xml:space="preserve">Turkina A</x:t>
  </x:si>
  <x:si>
    <x:t xml:space="preserve">Naga Prime</x:t>
  </x:si>
  <x:si>
    <x:t xml:space="preserve">Executioner B</x:t>
  </x:si>
  <x:si>
    <x:t xml:space="preserve">Executioner TC</x:t>
  </x:si>
  <x:si>
    <x:t xml:space="preserve">Stone Rhino 4</x:t>
  </x:si>
  <x:si>
    <x:t xml:space="preserve">KGC-000b King Crab</x:t>
  </x:si>
  <x:si>
    <x:t xml:space="preserve">Atlas C</x:t>
  </x:si>
  <x:si>
    <x:t xml:space="preserve">AS7-D-H Atlas II</x:t>
  </x:si>
  <x:si>
    <x:t xml:space="preserve">Warhammer IIC</x:t>
  </x:si>
  <x:si>
    <x:t xml:space="preserve">Bane</x:t>
  </x:si>
  <x:si>
    <x:t xml:space="preserve">Highlander IIC</x:t>
  </x:si>
  <x:si>
    <x:t xml:space="preserve">Stone Rhino 5</x:t>
  </x:si>
  <x:si>
    <x:t xml:space="preserve">STK-3Fb Stalker</x:t>
  </x:si>
  <x:si>
    <x:t xml:space="preserve">Stone Rhino</x:t>
  </x:si>
  <x:si>
    <x:t xml:space="preserve">THG-11Eb Thug</x:t>
  </x:si>
  <x:si>
    <x:t xml:space="preserve">Marauder IIC</x:t>
  </x:si>
  <x:si>
    <x:t xml:space="preserve">Kodiak</x:t>
  </x:si>
  <x:si>
    <x:t xml:space="preserve">BLR-1Gb BattleMaster</x:t>
  </x:si>
  <x:si>
    <x:t xml:space="preserve">Marauder IIC 8</x:t>
  </x:si>
  <x:si>
    <x:t xml:space="preserve">Stone Rhino 6</x:t>
  </x:si>
  <x:si>
    <x:t xml:space="preserve">Phoenix Hawk IIC</x:t>
  </x:si>
  <x:si>
    <x:t xml:space="preserve">Warhammer IIC 2</x:t>
  </x:si>
  <x:si>
    <x:t xml:space="preserve">Supernova</x:t>
  </x:si>
  <x:si>
    <x:t xml:space="preserve">HGN-732b Highlander</x:t>
  </x:si>
  <x:si>
    <x:t xml:space="preserve">EMP-6A Emperor</x:t>
  </x:si>
  <x:si>
    <x:t xml:space="preserve">Victor C</x:t>
  </x:si>
  <x:si>
    <x:t xml:space="preserve">Phoenix Hawk IIC 2</x:t>
  </x:si>
  <x:si>
    <x:t xml:space="preserve">Light Trinary</x:t>
  </x:si>
  <x:si>
    <x:t xml:space="preserve">Heavy Trinary</x:t>
  </x:si>
  <x:si>
    <x:t xml:space="preserve">FORCE SIZE TABLE</x:t>
  </x:si>
  <x:si>
    <x:t xml:space="preserve">Alpha Star</x:t>
  </x:si>
  <x:si>
    <x:t xml:space="preserve">Bravo Star</x:t>
  </x:si>
  <x:si>
    <x:t xml:space="preserve">Charlie Star</x:t>
  </x:si>
  <x:si>
    <x:t xml:space="preserve">Expected Track Force Size</x:t>
  </x:si>
  <x:si>
    <x:t xml:space="preserve">Force Points</x:t>
  </x:si>
  <x:si>
    <x:t xml:space="preserve">Battle Value (BV)</x:t>
  </x:si>
  <x:si>
    <x:t xml:space="preserve">Point Value (PV)</x:t>
  </x:si>
  <x:si>
    <x:t xml:space="preserve">Clan Base BSP</x:t>
  </x:si>
  <x:si>
    <x:t xml:space="preserve">ComStar Base BSP</x:t>
  </x:si>
  <x:si>
    <x:t xml:space="preserve">Max Additional BSP</x:t>
  </x:si>
  <x:si>
    <x:t xml:space="preserve">Light</x:t>
  </x:si>
  <x:si>
    <x:t xml:space="preserve">Heavy</x:t>
  </x:si>
  <x:si>
    <x:t xml:space="preserve">Medium</x:t>
  </x:si>
  <x:si>
    <x:t xml:space="preserve">Star</x:t>
  </x:si>
  <x:si>
    <x:t xml:space="preserve">Binary</x:t>
  </x:si>
  <x:si>
    <x:t xml:space="preserve">Trinary</x:t>
  </x:si>
  <x:si>
    <x:t xml:space="preserve">Additional BSP cost 4 Force Points, 500 BV, or 20 PV each. Clan BSP purchases require the Full Battlefield Support rules.</x:t>
  </x:si>
  <x:si>
    <x:t xml:space="preserve">Assault</x:t>
  </x:si>
  <x:si>
    <x:t xml:space="preserve">Medium Trinary</x:t>
  </x:si>
  <x:si>
    <x:t xml:space="preserve">Assault Trinary</x:t>
  </x:si>
  <x:si>
    <x:t xml:space="preserve">Star Formation Type</x:t>
  </x:si>
  <x:si>
    <x:t xml:space="preserve">Light Star</x:t>
  </x:si>
  <x:si>
    <x:t xml:space="preserve">Medium Star</x:t>
  </x:si>
  <x:si>
    <x:t xml:space="preserve">Heavy Star</x:t>
  </x:si>
  <x:si>
    <x:t xml:space="preserve">Battle</x:t>
  </x:si>
  <x:si>
    <x:t xml:space="preserve">Command</x:t>
  </x:si>
  <x:si>
    <x:t xml:space="preserve">Fire</x:t>
  </x:si>
  <x:si>
    <x:t xml:space="preserve">Striker</x:t>
  </x:si>
  <x:si>
    <x:t xml:space="preserve">Light 'Mechs</x:t>
  </x:si>
  <x:si>
    <x:t xml:space="preserve">Battle Level II</x:t>
  </x:si>
  <x:si>
    <x:t xml:space="preserve">Fire Level II</x:t>
  </x:si>
  <x:si>
    <x:t xml:space="preserve">Striker Level II</x:t>
  </x:si>
  <x:si>
    <x:t xml:space="preserve">MCY-97 Mercury</x:t>
  </x:si>
  <x:si>
    <x:t xml:space="preserve">WSP-1A Wasp</x:t>
  </x:si>
  <x:si>
    <x:t xml:space="preserve">SDR-9K Venom</x:t>
  </x:si>
  <x:si>
    <x:t xml:space="preserve">FFL-4C Firefly</x:t>
  </x:si>
  <x:si>
    <x:t xml:space="preserve">SDR-5V spider</x:t>
  </x:si>
  <x:si>
    <x:t xml:space="preserve">PNT-8Z Panther</x:t>
  </x:si>
  <x:si>
    <x:t xml:space="preserve">HSR-200-D Hussar</x:t>
  </x:si>
  <x:si>
    <x:t xml:space="preserve">HER-1S Hermes</x:t>
  </x:si>
  <x:si>
    <x:t xml:space="preserve">HSR-400-D Hussar</x:t>
  </x:si>
  <x:si>
    <x:t xml:space="preserve">MCY-99 Mercury</x:t>
  </x:si>
  <x:si>
    <x:t xml:space="preserve">UM-R63 UrbanMech</x:t>
  </x:si>
  <x:si>
    <x:t xml:space="preserve">LCT-1V Locust</x:t>
  </x:si>
  <x:si>
    <x:t xml:space="preserve">STG-3R Stinger</x:t>
  </x:si>
  <x:si>
    <x:t xml:space="preserve">FS9-H Firestarter</x:t>
  </x:si>
  <x:si>
    <x:t xml:space="preserve">OTT-7J Ostscout</x:t>
  </x:si>
  <x:si>
    <x:t xml:space="preserve">FS9-M Firestarter</x:t>
  </x:si>
  <x:si>
    <x:t xml:space="preserve">OTT-7K Ostscout</x:t>
  </x:si>
  <x:si>
    <x:t xml:space="preserve">Medium 'Mechs</x:t>
  </x:si>
  <x:si>
    <x:t xml:space="preserve">Assault Level II</x:t>
  </x:si>
  <x:si>
    <x:t xml:space="preserve">KTO-19 Kintaro</x:t>
  </x:si>
  <x:si>
    <x:t xml:space="preserve">WVR-6R wolverine</x:t>
  </x:si>
  <x:si>
    <x:t xml:space="preserve">WTH-1 Whitworth</x:t>
  </x:si>
  <x:si>
    <x:t xml:space="preserve">ASN-21 Assassin</x:t>
  </x:si>
  <x:si>
    <x:t xml:space="preserve">CDA-2A Cicada</x:t>
  </x:si>
  <x:si>
    <x:t xml:space="preserve">WVR-7M wolverine</x:t>
  </x:si>
  <x:si>
    <x:t xml:space="preserve">BJ-1 Blackjack</x:t>
  </x:si>
  <x:si>
    <x:t xml:space="preserve">CN9-A Centurion</x:t>
  </x:si>
  <x:si>
    <x:t xml:space="preserve">CLNT-2-3U Clint</x:t>
  </x:si>
  <x:si>
    <x:t xml:space="preserve">CLNT-2-3T Clint</x:t>
  </x:si>
  <x:si>
    <x:t xml:space="preserve">SHD-2Ht Shadow Hawk</x:t>
  </x:si>
  <x:si>
    <x:t xml:space="preserve">HBK-5M Hunchback</x:t>
  </x:si>
  <x:si>
    <x:t xml:space="preserve">CRB-27 crab</x:t>
  </x:si>
  <x:si>
    <x:t xml:space="preserve">SHD-2H Shadow Hawk</x:t>
  </x:si>
  <x:si>
    <x:t xml:space="preserve">PXH-1 Phoenix Hawk</x:t>
  </x:si>
  <x:si>
    <x:t xml:space="preserve">WVE-5N wyvern</x:t>
  </x:si>
  <x:si>
    <x:t xml:space="preserve">STN-3L sentinel</x:t>
  </x:si>
  <x:si>
    <x:t xml:space="preserve">PXH-1bC Phoenix Hawk</x:t>
  </x:si>
  <x:si>
    <x:t xml:space="preserve">WVE-9N wyvern</x:t>
  </x:si>
  <x:si>
    <x:t xml:space="preserve">WTH-2 Whitworth</x:t>
  </x:si>
  <x:si>
    <x:t xml:space="preserve">BJ-2 Blackjack</x:t>
  </x:si>
  <x:si>
    <x:t xml:space="preserve">GRF-1N Griffin</x:t>
  </x:si>
  <x:si>
    <x:t xml:space="preserve">cRB-27 crab</x:t>
  </x:si>
  <x:si>
    <x:t xml:space="preserve">HBK-4G Hunchback</x:t>
  </x:si>
  <x:si>
    <x:t xml:space="preserve">TBT-7M Trebuchet</x:t>
  </x:si>
  <x:si>
    <x:t xml:space="preserve">SCP-1O Scorpion</x:t>
  </x:si>
  <x:si>
    <x:t xml:space="preserve">DV-6M Dervish</x:t>
  </x:si>
  <x:si>
    <x:t xml:space="preserve">SCP-1N scorpion</x:t>
  </x:si>
  <x:si>
    <x:t xml:space="preserve">ASN-23 Assassin</x:t>
  </x:si>
  <x:si>
    <x:t xml:space="preserve">Heavy 'Mechs</x:t>
  </x:si>
  <x:si>
    <x:t xml:space="preserve">OTL-4D Ostsol</x:t>
  </x:si>
  <x:si>
    <x:t xml:space="preserve">MAD-3R Marauder</x:t>
  </x:si>
  <x:si>
    <x:t xml:space="preserve">CPLT-C1 Catapult</x:t>
  </x:si>
  <x:si>
    <x:t xml:space="preserve">OSR-2C Ostroc</x:t>
  </x:si>
  <x:si>
    <x:t xml:space="preserve">ON1-K Orion</x:t>
  </x:si>
  <x:si>
    <x:t xml:space="preserve">GLT-3N Guillotine</x:t>
  </x:si>
  <x:si>
    <x:t xml:space="preserve">ARC-2R Archer</x:t>
  </x:si>
  <x:si>
    <x:t xml:space="preserve">OSR-2D Ostroc</x:t>
  </x:si>
  <x:si>
    <x:t xml:space="preserve">MAD-5M Marauder</x:t>
  </x:si>
  <x:si>
    <x:t xml:space="preserve">MAD-5CS Marauder</x:t>
  </x:si>
  <x:si>
    <x:t xml:space="preserve">WHM-7M Warhammer</x:t>
  </x:si>
  <x:si>
    <x:t xml:space="preserve">CHP-1N Champion</x:t>
  </x:si>
  <x:si>
    <x:t xml:space="preserve">CPLT-C3 Catapult</x:t>
  </x:si>
  <x:si>
    <x:t xml:space="preserve">TDR-7M Thunderbolt</x:t>
  </x:si>
  <x:si>
    <x:t xml:space="preserve">TDR-5S Thunderbolt</x:t>
  </x:si>
  <x:si>
    <x:t xml:space="preserve">ARC-5CS Archer</x:t>
  </x:si>
  <x:si>
    <x:t xml:space="preserve">BL-9-KNT Black Knight</x:t>
  </x:si>
  <x:si>
    <x:t xml:space="preserve">BL-6-KNT Black Knight</x:t>
  </x:si>
  <x:si>
    <x:t xml:space="preserve">BMB-12D Bombardier</x:t>
  </x:si>
  <x:si>
    <x:t xml:space="preserve">CHP-3N Champion</x:t>
  </x:si>
  <x:si>
    <x:t xml:space="preserve">ST-8A Shootist</x:t>
  </x:si>
  <x:si>
    <x:t xml:space="preserve">ON1-M Orion</x:t>
  </x:si>
  <x:si>
    <x:t xml:space="preserve">RFL-5CS Rifleman</x:t>
  </x:si>
  <x:si>
    <x:t xml:space="preserve">WHM-7CS Warhammer</x:t>
  </x:si>
  <x:si>
    <x:t xml:space="preserve">RFL-3N Rifleman</x:t>
  </x:si>
  <x:si>
    <x:t xml:space="preserve">OTL-5M Ostsol</x:t>
  </x:si>
  <x:si>
    <x:t xml:space="preserve">CES-3R Caesar</x:t>
  </x:si>
  <x:si>
    <x:t xml:space="preserve">CRD-3R Crusader</x:t>
  </x:si>
  <x:si>
    <x:t xml:space="preserve">LNC25-05 Lancelot</x:t>
  </x:si>
  <x:si>
    <x:t xml:space="preserve">MAD-1R Marauder</x:t>
  </x:si>
  <x:si>
    <x:t xml:space="preserve">CPLT-C1b Catapult</x:t>
  </x:si>
  <x:si>
    <x:t xml:space="preserve">EXT-4D Exterminator</x:t>
  </x:si>
  <x:si>
    <x:t xml:space="preserve">Assault 'Mechs</x:t>
  </x:si>
  <x:si>
    <x:t xml:space="preserve">CP-10-Z Cyclops</x:t>
  </x:si>
  <x:si>
    <x:t xml:space="preserve">BLR-1G BattleMaster</x:t>
  </x:si>
  <x:si>
    <x:t xml:space="preserve">BLR-2C BattleMaster</x:t>
  </x:si>
  <x:si>
    <x:t xml:space="preserve">CRK-5003-1 Crockett</x:t>
  </x:si>
  <x:si>
    <x:t xml:space="preserve">STK-3F Stalker</x:t>
  </x:si>
  <x:si>
    <x:t xml:space="preserve">GOL-1H Goliath</x:t>
  </x:si>
  <x:si>
    <x:t xml:space="preserve">CGR-1A1 Charger</x:t>
  </x:si>
  <x:si>
    <x:t xml:space="preserve">CP-11-A Cyclops</x:t>
  </x:si>
  <x:si>
    <x:t xml:space="preserve">BLR-3M BattleMaster</x:t>
  </x:si>
  <x:si>
    <x:t xml:space="preserve">AS7-D Atlas</x:t>
  </x:si>
  <x:si>
    <x:t xml:space="preserve">BNC-3E Banshee</x:t>
  </x:si>
  <x:si>
    <x:t xml:space="preserve">KGC-001 King Crab</x:t>
  </x:si>
  <x:si>
    <x:t xml:space="preserve">HGN-732 Highlander</x:t>
  </x:si>
  <x:si>
    <x:t xml:space="preserve">VTR-9B Victor</x:t>
  </x:si>
  <x:si>
    <x:t xml:space="preserve">AWS-8Q Awesome</x:t>
  </x:si>
  <x:si>
    <x:t xml:space="preserve">KGC-000 King Crab</x:t>
  </x:si>
  <x:si>
    <x:t xml:space="preserve">THG-11E Thug</x:t>
  </x:si>
  <x:si>
    <x:t xml:space="preserve">SPT-N2 Spartan</x:t>
  </x:si>
  <x:si>
    <x:t xml:space="preserve">STK-5M Stalker</x:t>
  </x:si>
  <x:si>
    <x:t xml:space="preserve">AS7-K Atlas</x:t>
  </x:si>
  <x:si>
    <x:t xml:space="preserve">PLG-3Z Pillager</x:t>
  </x:si>
  <x:si>
    <x:t xml:space="preserve">NSR-9J Nightstar</x:t>
  </x:si>
  <x:si>
    <x:t xml:space="preserve">TDK-7X Thunder Hawk</x:t>
  </x:si>
  <x:si>
    <x:t xml:space="preserve">UNIT COMPOSITION BY DESIGNATION TABLE</x:t>
  </x:si>
  <x:si>
    <x:t xml:space="preserve">BRANCH DESIGNATIONS</x:t>
  </x:si>
  <x:si>
    <x:t xml:space="preserve">COMSTAR FORCE ORGANIZATION TABLE</x:t>
  </x:si>
  <x:si>
    <x:t xml:space="preserve">No. of Level IIs</x:t>
  </x:si>
  <x:si>
    <x:t xml:space="preserve">Com Guards Branch</x:t>
  </x:si>
  <x:si>
    <x:t xml:space="preserve">Designations</x:t>
  </x:si>
  <x:si>
    <x:t xml:space="preserve">Organization</x:t>
  </x:si>
  <x:si>
    <x:t xml:space="preserve">Definition</x:t>
  </x:si>
  <x:si>
    <x:t xml:space="preserve">Command Rank</x:t>
  </x:si>
  <x:si>
    <x:t xml:space="preserve">Level IV Designation</x:t>
  </x:si>
  <x:si>
    <x:t xml:space="preserve">’Mech</x:t>
  </x:si>
  <x:si>
    <x:t xml:space="preserve">Combat Vehicle</x:t>
  </x:si>
  <x:si>
    <x:t xml:space="preserve">Infantry</x:t>
  </x:si>
  <x:si>
    <x:t xml:space="preserve">Aerospace</x:t>
  </x:si>
  <x:si>
    <x:t xml:space="preserve">Level II Weight Composition</x:t>
  </x:si>
  <x:si>
    <x:t xml:space="preserve">Armor Crew</x:t>
  </x:si>
  <x:si>
    <x:t xml:space="preserve">Alpha</x:t>
  </x:si>
  <x:si>
    <x:t xml:space="preserve">Level I Infantry</x:t>
  </x:si>
  <x:si>
    <x:t xml:space="preserve">36 troopers
(30 jump troopers)</x:t>
  </x:si>
  <x:si>
    <x:t xml:space="preserve">Adept</x:t>
  </x:si>
  <x:si>
    <x:t xml:space="preserve">1D6</x:t>
  </x:si>
  <x:si>
    <x:t xml:space="preserve">Weight</x:t>
  </x:si>
  <x:si>
    <x:t xml:space="preserve">MechWarrior</x:t>
  </x:si>
  <x:si>
    <x:t xml:space="preserve">Epsilon</x:t>
  </x:si>
  <x:si>
    <x:t xml:space="preserve">Level I BattleMech</x:t>
  </x:si>
  <x:si>
    <x:t xml:space="preserve">1 ’Mech</x:t>
  </x:si>
  <x:si>
    <x:t xml:space="preserve">Acolyte or Adept</x:t>
  </x:si>
  <x:si>
    <x:t xml:space="preserve">Beta</x:t>
  </x:si>
  <x:si>
    <x:t xml:space="preserve">Iota</x:t>
  </x:si>
  <x:si>
    <x:t xml:space="preserve">Level I Vehicle</x:t>
  </x:si>
  <x:si>
    <x:t xml:space="preserve">1 Vehicle</x:t>
  </x:si>
  <x:si>
    <x:t xml:space="preserve">Gamma</x:t>
  </x:si>
  <x:si>
    <x:t xml:space="preserve">Fighter</x:t>
  </x:si>
  <x:si>
    <x:t xml:space="preserve">Pi</x:t>
  </x:si>
  <x:si>
    <x:t xml:space="preserve">Level I Fighter</x:t>
  </x:si>
  <x:si>
    <x:t xml:space="preserve">1 Fighter</x:t>
  </x:si>
  <x:si>
    <x:t xml:space="preserve">Delta</x:t>
  </x:si>
  <x:si>
    <x:t xml:space="preserve">Level II
(Demi-Company)</x:t>
  </x:si>
  <x:si>
    <x:t xml:space="preserve">6 Level Is</x:t>
  </x:si>
  <x:si>
    <x:t xml:space="preserve">Level III (Battalion)</x:t>
  </x:si>
  <x:si>
    <x:t xml:space="preserve">6 Level IIs</x:t>
  </x:si>
  <x:si>
    <x:t xml:space="preserve">Adept
(Demi-Precentor)</x:t>
  </x:si>
  <x:si>
    <x:t xml:space="preserve">Zeta</x:t>
  </x:si>
  <x:si>
    <x:t xml:space="preserve">Level IV (Division)</x:t>
  </x:si>
  <x:si>
    <x:t xml:space="preserve">6 Level IIIs</x:t>
  </x:si>
  <x:si>
    <x:t xml:space="preserve">Precentor</x:t>
  </x:si>
  <x:si>
    <x:t xml:space="preserve">Eta</x:t>
  </x:si>
  <x:si>
    <x:t xml:space="preserve">Level V (Army)</x:t>
  </x:si>
  <x:si>
    <x:t xml:space="preserve">6 Level IVs</x:t>
  </x:si>
  <x:si>
    <x:t xml:space="preserve">Theta</x:t>
  </x:si>
  <x:si>
    <x:t xml:space="preserve">Com Guards</x:t>
  </x:si>
  <x:si>
    <x:t xml:space="preserve">12 Level Vs</x:t>
  </x:si>
  <x:si>
    <x:t xml:space="preserve">Precentor Martial</x:t>
  </x:si>
  <x:si>
    <x:t xml:space="preserve">Level II Weight Distribution</x:t>
  </x:si>
  <x:si>
    <x:t xml:space="preserve">Kappa</x:t>
  </x:si>
  <x:si>
    <x:t xml:space="preserve">Light Level II</x:t>
  </x:si>
  <x:si>
    <x:t xml:space="preserve">Medium Level II</x:t>
  </x:si>
  <x:si>
    <x:t xml:space="preserve">Heavy Level II</x:t>
  </x:si>
  <x:si>
    <x:t xml:space="preserve">Lambda</x:t>
  </x:si>
  <x:si>
    <x:t xml:space="preserve">6 Light</x:t>
  </x:si>
  <x:si>
    <x:t xml:space="preserve">1 Light, 4 Medium, 1 Heavy</x:t>
  </x:si>
  <x:si>
    <x:t xml:space="preserve">2 Medium, 4 Heavy</x:t>
  </x:si>
  <x:si>
    <x:t xml:space="preserve">1 Medium, 3 Heavy, 2 Assault</x:t>
  </x:si>
  <x:si>
    <x:t xml:space="preserve">Mu</x:t>
  </x:si>
  <x:si>
    <x:t xml:space="preserve">4 Light, 2 Medium</x:t>
  </x:si>
  <x:si>
    <x:t xml:space="preserve">1 Light, 3 Medium, 2 Heavy</x:t>
  </x:si>
  <x:si>
    <x:t xml:space="preserve">1 Medium, 5 Heavy</x:t>
  </x:si>
  <x:si>
    <x:t xml:space="preserve">4 Heavy, 2 Assault</x:t>
  </x:si>
  <x:si>
    <x:t xml:space="preserve">Nu</x:t>
  </x:si>
  <x:si>
    <x:t xml:space="preserve">Xi</x:t>
  </x:si>
  <x:si>
    <x:t xml:space="preserve">3 Light, 3 Medium</x:t>
  </x:si>
  <x:si>
    <x:t xml:space="preserve">4 Medium, 2 Heavy</x:t>
  </x:si>
  <x:si>
    <x:t xml:space="preserve">5 Heavy, 1 Assault</x:t>
  </x:si>
  <x:si>
    <x:t xml:space="preserve">3 Heavy, 3 Assault</x:t>
  </x:si>
  <x:si>
    <x:t xml:space="preserve">Omicron</x:t>
  </x:si>
  <x:si>
    <x:t xml:space="preserve">2 Light, 2 Medium, 2 Heavy</x:t>
  </x:si>
  <x:si>
    <x:t xml:space="preserve">3 Medium, 3 Heavy</x:t>
  </x:si>
  <x:si>
    <x:t xml:space="preserve">2 Heavy, 4 Assault</x:t>
  </x:si>
  <x:si>
    <x:t xml:space="preserve">Rho</x:t>
  </x:si>
  <x:si>
    <x:t xml:space="preserve">Sigma</x:t>
  </x:si>
  <x:si>
    <x:t xml:space="preserve">Level II Formation Type</x:t>
  </x:si>
  <x:si>
    <x:t xml:space="preserve">Tau</x:t>
  </x:si>
  <x:si>
    <x:t xml:space="preserve">Upsilon</x:t>
  </x:si>
  <x:si>
    <x:t xml:space="preserve">Phi</x:t>
  </x:si>
  <x:si>
    <x:t xml:space="preserve">Chi</x:t>
  </x:si>
  <x:si>
    <x:t xml:space="preserve">Psi</x:t>
  </x:si>
  <x:si>
    <x:t xml:space="preserve">Omega</x:t>
  </x:si>
  <x:si>
    <x:t xml:space="preserve">Combatant</x:t>
  </x:si>
  <x:si>
    <x:t xml:space="preserve">Commander1</x:t>
  </x:si>
  <x:si>
    <x:t xml:space="preserve">Special Command Abilities1</x:t>
  </x:si>
  <x:si>
    <x:t xml:space="preserve">Force Building Rules1</x:t>
  </x:si>
  <x:si>
    <x:t xml:space="preserve">Group</x:t>
  </x:si>
  <x:si>
    <x:t xml:space="preserve">Commander2</x:t>
  </x:si>
  <x:si>
    <x:t xml:space="preserve">Group Notes</x:t>
  </x:si>
  <x:si>
    <x:t xml:space="preserve">Unit</x:t>
  </x:si>
  <x:si>
    <x:t xml:space="preserve">Experience Rating</x:t>
  </x:si>
  <x:si>
    <x:t xml:space="preserve">Special Command Abilities2</x:t>
  </x:si>
  <x:si>
    <x:t xml:space="preserve">Commander3</x:t>
  </x:si>
  <x:si>
    <x:t xml:space="preserve">Unit Notes</x:t>
  </x:si>
  <x:si>
    <x:t xml:space="preserve">Force Building Rules2</x:t>
  </x:si>
  <x:si>
    <x:t xml:space="preserve">Khan Lincoln Osis</x:t>
  </x:si>
  <x:si>
    <x:t xml:space="preserve">The Dire Wolf, Ebon Jaguar, and Stormcrow are common Smoke Jaguar ’Mechs. A Smoke Jaguar player may replace one OmniMech per Star with one of the above of the same weight class (Assault, Heavy, Medium). The player may choose the configuration: Prime, A, B or, S for a Dire Wolf; Prime, A, B or, C for an Ebon Jaguar; Prime, A, B, C, D, or TC for a Stormcrow.</x:t>
  </x:si>
  <x:si>
    <x:t xml:space="preserve">Alpha Galaxy “The Black Jaguars”</x:t>
  </x:si>
  <x:si>
    <x:t xml:space="preserve">Loremaster Edmund Hoyt</x:t>
  </x:si>
  <x:si>
    <x:t xml:space="preserve">Sixth Jaguar Dragoons “The Wolfslayers”</x:t>
  </x:si>
  <x:si>
    <x:t xml:space="preserve">Elite</x:t>
  </x:si>
  <x:si>
    <x:t xml:space="preserve">Front-Line</x:t>
  </x:si>
  <x:si>
    <x:t xml:space="preserve">3 Heavy ’Mech Trinaries, Elemental Binary, Aerospace Binary</x:t>
  </x:si>
  <x:si>
    <x:t xml:space="preserve">Tactical Specialization/Attack, Overrun Combat, Forcing the Initiative</x:t>
  </x:si>
  <x:si>
    <x:t xml:space="preserve">Jaguar Grenadiers “Shadow Stalkers”</x:t>
  </x:si>
  <x:si>
    <x:t xml:space="preserve">5 Heavy ’Mech Trinaries, Elemental Binary</x:t>
  </x:si>
  <x:si>
    <x:t xml:space="preserve">Focus/Sniper, Assault Operations (see p. 136), Unleashed</x:t>
  </x:si>
  <x:si>
    <x:t xml:space="preserve">Star Colonel Brandon Howell</x:t>
  </x:si>
  <x:si>
    <x:t xml:space="preserve">Beta Galaxy “The Mistweavers”</x:t>
  </x:si>
  <x:si>
    <x:t xml:space="preserve">saKhan Sarah Weaver</x:t>
  </x:si>
  <x:si>
    <x:t xml:space="preserve">First Jaguar Guards “The Whitewatch”</x:t>
  </x:si>
  <x:si>
    <x:t xml:space="preserve">3 Heavy ’Mech Trinaries, Elemental Trinary, Trinary Striker (2 Medium ’Mech Stars, Aerospace Star)</x:t>
  </x:si>
  <x:si>
    <x:t xml:space="preserve">Unleashed, Steady, Forcing the Initiative</x:t>
  </x:si>
  <x:si>
    <x:t xml:space="preserve">Star Colonel Blaine Raddick</x:t>
  </x:si>
  <x:si>
    <x:t xml:space="preserve">267th Cluster “The Devil’s Mist”</x:t>
  </x:si>
  <x:si>
    <x:t xml:space="preserve">2 Heavy Supernovas, 2 Heavy ’Mech Trinaries, Elemental Trinary</x:t>
  </x:si>
  <x:si>
    <x:t xml:space="preserve">Tactical Specialization/Combined Arms, Pounce, Overrun Combat</x:t>
  </x:si>
  <x:si>
    <x:t xml:space="preserve">Star Colonel Diane Perez</x:t>
  </x:si>
  <x:si>
    <x:t xml:space="preserve">Khan Ian Hawker</x:t>
  </x:si>
  <x:si>
    <x:t xml:space="preserve">Intelligence Specialists: Exclusive to Clan Diamond Shark. The force must select one Intelligence Specialist per full trinary (15) of units in the force. If using the Battlefield Intelligence rules (see AS:CE p. 154), the force can assign the MHQ5 special ability to one commander per full trinary (15) of units. If not using Battlefield Intelligence rules, as long as one of these units remain on the board and not destroyed, the force receives a +1 Initiative Modifier.</x:t>
  </x:si>
  <x:si>
    <x:t xml:space="preserve">Adder, Nova, Grendel, and Warhawk are common Diamond Shark ’Mechs. A Clan Diamond Shark player may replace one OmniMech per Star with one of the above of the same weight class (Light, Medium, Heavy, Assault). The player may choose the configuration (Prime, A, B, C or D, with the exception of the Warhawk, which cannot be taken in the D configuration).
Clan Diamond Shark Second-Line forces may replace any Heavy or Assault ’Mech with a Thresher (or Thresher 2), once per Star.</x:t>
  </x:si>
  <x:si>
    <x:t xml:space="preserve">Alpha Galaxy “Deathstrike”</x:t>
  </x:si>
  <x:si>
    <x:t xml:space="preserve">saKhan Barbara Sennet</x:t>
  </x:si>
  <x:si>
    <x:t xml:space="preserve">19th Heavy Cluster “The Great White”</x:t>
  </x:si>
  <x:si>
    <x:t xml:space="preserve">Assault Supernova, 3 Heavy ’Mech Trinaries, Aerospace Binary</x:t>
  </x:si>
  <x:si>
    <x:t xml:space="preserve">Focus/Weapon Specialist, Overrun Combat, Intelligence Specialists</x:t>
  </x:si>
  <x:si>
    <x:t xml:space="preserve">Star Colonel Ala Rodriguez</x:t>
  </x:si>
  <x:si>
    <x:t xml:space="preserve">Intelligence Specialists: Exclusive to Clan Diamond Shark.
The force must select one Intelligence Specialist per full trinary (15) of units in the force. If using the Battlefield Intelligence rules (see AS:CE p. 154), the force can assign the MHQ5 special ability to one commander per full trinary (15) of units. If not using Battlefield Intelligence rules, as long as one of these units remain on the board and not destroyed, the force receives a +1 Initiative Modifier.</x:t>
  </x:si>
  <x:si>
    <x:t xml:space="preserve">39th Strike Cluster “The Frenzy”</x:t>
  </x:si>
  <x:si>
    <x:t xml:space="preserve">Medium Supernova, 3 Medium ’Mech Trinaries, Medium Aerospace Trinary, Battle Armor Trinary</x:t>
  </x:si>
  <x:si>
    <x:t xml:space="preserve">Overrun Combat, Focus/Multi-Tasker, Brawlers</x:t>
  </x:si>
  <x:si>
    <x:t xml:space="preserve">Star Colonel Montgomery Hawker</x:t>
  </x:si>
  <x:si>
    <x:t xml:space="preserve">Gamma Galaxy “Snapping Jaws”</x:t>
  </x:si>
  <x:si>
    <x:t xml:space="preserve">Galaxy Commander Holsase Kalasa</x:t>
  </x:si>
  <x:si>
    <x:t xml:space="preserve">222nd Assault Cluster “The Rippers”</x:t>
  </x:si>
  <x:si>
    <x:t xml:space="preserve">2 Assault Supernovas, 2 Heavy ’Mech Trinaries, Heavy Aerospace Trinary</x:t>
  </x:si>
  <x:si>
    <x:t xml:space="preserve">Berserkers, Intelligence Specialists, Fighting Withdrawal</x:t>
  </x:si>
  <x:si>
    <x:t xml:space="preserve">Star Colonel Red Sennet</x:t>
  </x:si>
  <x:si>
    <x:t xml:space="preserve">Omega Galaxy "Bloodscent"</x:t>
  </x:si>
  <x:si>
    <x:t xml:space="preserve">Galaxy Commander Gutby Horn</x:t>
  </x:si>
  <x:si>
    <x:t xml:space="preserve">Third Shark Regulars “Restless Shiver”</x:t>
  </x:si>
  <x:si>
    <x:t xml:space="preserve">Veteran</x:t>
  </x:si>
  <x:si>
    <x:t xml:space="preserve">5 Medium ’Mech Trinaries</x:t>
  </x:si>
  <x:si>
    <x:t xml:space="preserve">Esprit de Corps, Focus/Hot Dog</x:t>
  </x:si>
  <x:si>
    <x:t xml:space="preserve">Star Colonel Adrine</x:t>
  </x:si>
  <x:si>
    <x:t xml:space="preserve">Khan Bjorn Jorgensson</x:t>
  </x:si>
  <x:si>
    <x:t xml:space="preserve">Family: Exclusive to Clan Ghost Bear. The Ghost Bear force receives a –1 Target Number modifier to a ranged weapon attack against any target that is within Short range (AS: 6”) of a Ghost Bear unit possessing at least one location without armor (AS: a Ghost Bear Unit with less than half its original armor value).</x:t>
  </x:si>
  <x:si>
    <x:t xml:space="preserve">The Executioner, Mad Dog, Viper, and Fire Moth are common Ghost Bear ’Mechs. A Clan Ghost Bear player may replace one OmniMech per Star with one of the above of the same weight class (light, medium, heavy, assault). The player may choose the configuration (Prime, A, B, C, or D, with the exception of the Mad Dog, which cannot be taken in the D configuration).
All Ghost Bear Galaxies except Delta must select more heavy and assault ’Mechs during Force Building than light or medium ’Mechs.</x:t>
  </x:si>
  <x:si>
    <x:t xml:space="preserve">Alpha Galaxy “The Golden Bears”</x:t>
  </x:si>
  <x:si>
    <x:t xml:space="preserve">saKhan Aletha Kabrinski</x:t>
  </x:si>
  <x:si>
    <x:t xml:space="preserve">Clan Command Supernova “The Ourse Keshik”</x:t>
  </x:si>
  <x:si>
    <x:t xml:space="preserve">Heavy Supernova, Aerospace Binary, Artillery Star</x:t>
  </x:si>
  <x:si>
    <x:t xml:space="preserve">Family, Overrun Combat, Strategic Planning</x:t>
  </x:si>
  <x:si>
    <x:t xml:space="preserve">The Ourse Keshik has served as the personal unit of the Clan Ghost Bear Khan since its inception.</x:t>
  </x:si>
  <x:si>
    <x:t xml:space="preserve">A Campaign Force drawn from the Ourse Keshik may reroll each unit assignment once per unit and may choose either result.</x:t>
  </x:si>
  <x:si>
    <x:t xml:space="preserve">Fiftieth Striker Cluster “The Black Bears”</x:t>
  </x:si>
  <x:si>
    <x:t xml:space="preserve">3 Light ’Mech Trinaries, Light Supernova, Aerospace Trinary</x:t>
  </x:si>
  <x:si>
    <x:t xml:space="preserve">Family, Focus/Jumping Jack, Strategic Planning</x:t>
  </x:si>
  <x:si>
    <x:t xml:space="preserve">Star Colonel Stephan Huntsig</x:t>
  </x:si>
  <x:si>
    <x:t xml:space="preserve">The Fiftieth Striker Cluster spent most of Operation Revival outflanking units pinned by Alpha Galaxy’s Bear Guards.</x:t>
  </x:si>
  <x:si>
    <x:t xml:space="preserve">A Campaign Force drawn from the Fiftieth Striker Cluster must reroll any ’Mech assignment that does not have jump jets. The player must take the second result.</x:t>
  </x:si>
  <x:si>
    <x:t xml:space="preserve">Beta Galaxy "The Night Howlers"</x:t>
  </x:si>
  <x:si>
    <x:t xml:space="preserve">Loremaster Laurie Tseng</x:t>
  </x:si>
  <x:si>
    <x:t xml:space="preserve">Seventh Bear Guards “Claws of Glory”</x:t>
  </x:si>
  <x:si>
    <x:t xml:space="preserve">Heavy Supernova, 3 Heavy ’Mech Trinaries, Aerospace Binary</x:t>
  </x:si>
  <x:si>
    <x:t xml:space="preserve">Brawlers, Focus/Hot Dog, Strategic Command</x:t>
  </x:si>
  <x:si>
    <x:t xml:space="preserve">Star Colonel Gustaf Hall</x:t>
  </x:si>
  <x:si>
    <x:t xml:space="preserve">On garrison duty in the Homeworlds until 3051, the Seventh Bear Guards is a new arrival in the Inner Sphere, making them vulnerable to opponents’ dishonorable actions.</x:t>
  </x:si>
  <x:si>
    <x:t xml:space="preserve">A Campaign Force drawn from the Seventh Bear Guards may not roll or assign any light (AS: Size 1) ’Mechs, and at most one Medium ’Mech (AS: Size 2) per Star.</x:t>
  </x:si>
  <x:si>
    <x:t xml:space="preserve">Delta Galaxy "The Blitzkrieg"</x:t>
  </x:si>
  <x:si>
    <x:t xml:space="preserve">Galaxy Commander Roberto Snuka</x:t>
  </x:si>
  <x:si>
    <x:t xml:space="preserve">Twentieth Polar Bears “The Chilled Death”</x:t>
  </x:si>
  <x:si>
    <x:t xml:space="preserve">2 Medium Supernova, Light ’Mech Trinary, Medium Mixed Trinary, Aerospace Trinary</x:t>
  </x:si>
  <x:si>
    <x:t xml:space="preserve">Environmental Specialization/Winter, Family, Strategic Planning, Ground Attack Specialists</x:t>
  </x:si>
  <x:si>
    <x:t xml:space="preserve">Star Colonel Long Gurdel</x:t>
  </x:si>
  <x:si>
    <x:t xml:space="preserve">The Twentieth Attack Cluster spent the first three waves of Operation Revival on garrison duty before achieving success on Thessalonika.</x:t>
  </x:si>
  <x:si>
    <x:t xml:space="preserve">A Campaign Force drawn from the Twentieth Polar Bears may roll for one ’Mech on the Second-Line BattleMech assignment tables per Star.</x:t>
  </x:si>
  <x:si>
    <x:t xml:space="preserve">Khan Natalie Breen</x:t>
  </x:si>
  <x:si>
    <x:t xml:space="preserve">Fang: Exclusive to Clan Steel Viper. Mounted Elementals may dismount at any point during their carrier’s movement, instead of only at the end of their carrier’s movement.</x:t>
  </x:si>
  <x:si>
    <x:t xml:space="preserve">The Steel Vipers prefer mobile warfare, fielding more medium and fast heavy OmniMechs than light or assault units. A player may replace one medium OmniMech per star with a Battle Cobra or one heavy OmniMech per star with a Crossbow. The player may choose the Prime, A or B configuration for these ’Mechs.</x:t>
  </x:si>
  <x:si>
    <x:t xml:space="preserve">Alpha Galaxy "Steel Viper Galaxy"</x:t>
  </x:si>
  <x:si>
    <x:t xml:space="preserve">First Viper Guards “The Viper’s Fury”</x:t>
  </x:si>
  <x:si>
    <x:t xml:space="preserve">Medium ’Mech Trinary, 2 Heavy ’Mech Trinaries, 2 Battle Armor Trinaries</x:t>
  </x:si>
  <x:si>
    <x:t xml:space="preserve">Fang, Forcing the Initiative, Zone of Control</x:t>
  </x:si>
  <x:si>
    <x:t xml:space="preserve">Star Colonel Elias Andrews</x:t>
  </x:si>
  <x:si>
    <x:t xml:space="preserve">Unlike standard Steel Viper formations, the First Viper Guards deploy no aerospace forces, but twice the number of Elementals. When creating a Campaign Forces drawn from the First Viper Guards, at least one Star in every Trinary must be an Elemental Star. Additionally, the First cannot spend Battlefield Support Points on aerospace support.</x:t>
  </x:si>
  <x:si>
    <x:t xml:space="preserve">250th Assault Cluster “The Viper Guards”</x:t>
  </x:si>
  <x:si>
    <x:t xml:space="preserve">2 Heavy ’Mech Trinaries, Assault ’Mech Trinary, Battle Armor Trinary, Aerospace Trinary</x:t>
  </x:si>
  <x:si>
    <x:t xml:space="preserve">Berserkers, Fang, Overrun Combat</x:t>
  </x:si>
  <x:si>
    <x:t xml:space="preserve">Star Colonel Lev Gerard</x:t>
  </x:si>
  <x:si>
    <x:t xml:space="preserve">The 250th is a brutal unit that shows no mercy to dezgra troops and engages in physical combat at will.</x:t>
  </x:si>
  <x:si>
    <x:t xml:space="preserve">Gamma Galaxy "Striking Serpent Galaxy"</x:t>
  </x:si>
  <x:si>
    <x:t xml:space="preserve">saKhan Perigard Zalman</x:t>
  </x:si>
  <x:si>
    <x:t xml:space="preserve">Fifty-Seventh Striker Cluster “The Fangs of Death”</x:t>
  </x:si>
  <x:si>
    <x:t xml:space="preserve">2 Medium ’Mech Trinaries, Heavy ’Mech Trinary, Elemental Trinary, Aerospace Trinary</x:t>
  </x:si>
  <x:si>
    <x:t xml:space="preserve">Banking the Initiative, Fang, Focus/Multi-tasker</x:t>
  </x:si>
  <x:si>
    <x:t xml:space="preserve">Star Colonel Robert Grimani</x:t>
  </x:si>
  <x:si>
    <x:t xml:space="preserve">Zeta Galaxy</x:t>
  </x:si>
  <x:si>
    <x:t xml:space="preserve">Galaxy Commander Bard Tsongas</x:t>
  </x:si>
  <x:si>
    <x:t xml:space="preserve">First Fang</x:t>
  </x:si>
  <x:si>
    <x:t xml:space="preserve">2 Medium ’Mech Trinaries, Heavy ’Mech Trinary, Infantry Trinary, Aerospace Trinary.</x:t>
  </x:si>
  <x:si>
    <x:t xml:space="preserve">Off-Map Movement, Sharp Shooters, Esprit de Corps</x:t>
  </x:si>
  <x:si>
    <x:t xml:space="preserve">Star Colonel Monday Stoklas</x:t>
  </x:si>
  <x:si>
    <x:t xml:space="preserve">A bitterness of offended pride permeates the aging warriors of the First Fang, who always go the extra mile to prove their worth. The First never retreats, fighting to the last man. If shot out of their ’Mechs, MechWarriors will join ranks with infantry platoons to continue fighting until the end.</x:t>
  </x:si>
  <x:si>
    <x:t xml:space="preserve">Campaign Forces drawn from the First Fang may spend Battlefield Support Points on conventional infantry (see Battlefield Support: Combined Arms, p. 19). In addition, a force may replace one Medium ’Mech per Star with a Vapor Eagle, and one heavy ’Mech per Star may be replaced with a Black Python.</x:t>
  </x:si>
  <x:si>
    <x:t xml:space="preserve">Khan Severen Leroux</x:t>
  </x:si>
  <x:si>
    <x:t xml:space="preserve">Hover-Drop Specialists: Exclusive to Clan Nova Cat. If a unit with Jump MP or the Jump movement mode performs a Low-Altitude Drop, a combat drop that arrives on Turn 1 (see Dropping ’Mechs p. 79, BMM, or p. 160, AS:CE), the unit may make attacks during the turn it lands on the battlefield.</x:t>
  </x:si>
  <x:si>
    <x:t xml:space="preserve">The Shadow Cat, Arctic Cheetah, Huntsman, and Gargoyle are common Nova Cat ’Mechs. A Clan Nova Cat player may replace one OmniMech per Star with one of the above of the same weight class (light, medium, heavy, assault). The player may choose the configuration (Prime, A, B, C or D, with the exception of the Huntsman and Shadow Cat, which cannot be taken in the D configuration).</x:t>
  </x:si>
  <x:si>
    <x:t xml:space="preserve">Alpha Galaxy "Victory Over Delusion"</x:t>
  </x:si>
  <x:si>
    <x:t xml:space="preserve">SaKhan Lucian Carns</x:t>
  </x:si>
  <x:si>
    <x:t xml:space="preserve">Alpha Galaxy Command Supernova “The Vision Keshik”</x:t>
  </x:si>
  <x:si>
    <x:t xml:space="preserve">Heavy Supernova, Heavy Aerospace Star</x:t>
  </x:si>
  <x:si>
    <x:t xml:space="preserve">Focus/Human TRO, Forcing the Initiative, Hover-Drop Specialists</x:t>
  </x:si>
  <x:si>
    <x:t xml:space="preserve">489th Assault Cluster “The Third Eye”</x:t>
  </x:si>
  <x:si>
    <x:t xml:space="preserve">Heavy Mixed Trinary, 2 Medium ’Mech Trinaries, 2 Battle Armor Binaries, Artillery Binary</x:t>
  </x:si>
  <x:si>
    <x:t xml:space="preserve">Hover-Drop Specialists, Focus/Marksman, Tactical Adjustments</x:t>
  </x:si>
  <x:si>
    <x:t xml:space="preserve">Star Colonel Everlyn Morris</x:t>
  </x:si>
  <x:si>
    <x:t xml:space="preserve">Beta Galaxy "Spiritual Vision"</x:t>
  </x:si>
  <x:si>
    <x:t xml:space="preserve">Galaxy Commander Brian Lossey</x:t>
  </x:si>
  <x:si>
    <x:t xml:space="preserve">44th Nova Cat Cavaliers “The Five Actions”</x:t>
  </x:si>
  <x:si>
    <x:t xml:space="preserve">3 Medium ’Mech Trinaries, Battle Armor Binary, Aerospace Binary</x:t>
  </x:si>
  <x:si>
    <x:t xml:space="preserve">Hover-Drop Specialists, Sharpshooters, Tactical Adjustments</x:t>
  </x:si>
  <x:si>
    <x:t xml:space="preserve">Star Colonel Istal Devalis</x:t>
  </x:si>
  <x:si>
    <x:t xml:space="preserve">Gamma Galaxy "Revelations"</x:t>
  </x:si>
  <x:si>
    <x:t xml:space="preserve">Galaxy Commander Reyna Higall</x:t>
  </x:si>
  <x:si>
    <x:t xml:space="preserve">Nova Cat Grenadiers “The Forest Path”</x:t>
  </x:si>
  <x:si>
    <x:t xml:space="preserve">Banking Initiative, Hover-Drop Specialists, Rapid Strike</x:t>
  </x:si>
  <x:si>
    <x:t xml:space="preserve">Star Colonel Ian Deleportas</x:t>
  </x:si>
  <x:si>
    <x:t xml:space="preserve">Clan Jade Falcon</x:t>
  </x:si>
  <x:si>
    <x:t xml:space="preserve">Khan Elias Crichell</x:t>
  </x:si>
  <x:si>
    <x:t xml:space="preserve">Wrath: Exclusive to Clan Jade Falcon. Units with this ability receive a –1 Target Number modifier against any ’Mech that has refused a fair challenge. A fair challenge is a challenge made against a unit of the same unit type (BattleMech) and of the same or heavier weight class (AS: Size).</x:t>
  </x:si>
  <x:si>
    <x:t xml:space="preserve">The Kit Fox, Hellbringer, and Summoner are common Jade Falcon ’Mechs. A Clan Jade Falcon player may replace one OmniMech per Star with one of the above of the same weight class (light or heavy). The player may choose the configuration (Prime, A, B, C, or D, with the exception of the Hellbringer, which is limited to configurations A and B).</x:t>
  </x:si>
  <x:si>
    <x:t xml:space="preserve">GAMMA GALAXY “JADE FALCON”</x:t>
  </x:si>
  <x:si>
    <x:t xml:space="preserve">Galaxy Commander Mar Helmer</x:t>
  </x:si>
  <x:si>
    <x:t xml:space="preserve">(Jade) Falcon Guards “Pryde’s Pride”</x:t>
  </x:si>
  <x:si>
    <x:t xml:space="preserve">2 Heavy ’Mech Trinaries, Medium ’Mech Trinary, 2 Battle Armor Trinaries, Command Star</x:t>
  </x:si>
  <x:si>
    <x:t xml:space="preserve">Tactical Specialization/Attack, Wrath, Esprit de Corps</x:t>
  </x:si>
  <x:si>
    <x:t xml:space="preserve">Star Colonel Aidan Pryde</x:t>
  </x:si>
  <x:si>
    <x:t xml:space="preserve">Third Falcon Talon “The Jade Claymores”</x:t>
  </x:si>
  <x:si>
    <x:t xml:space="preserve">2 Heavy ’Mech Trinaries, 2 Battle Armor Trinaries, Aerospace Trinary, Command Star</x:t>
  </x:si>
  <x:si>
    <x:t xml:space="preserve">Environmental Specialization/Night, Environmental Specialization/Storm, Wrath, Focus/Jumping Jack</x:t>
  </x:si>
  <x:si>
    <x:t xml:space="preserve">Star Colonel Gran Newclay</x:t>
  </x:si>
  <x:si>
    <x:t xml:space="preserve">Environmental Specialization/Storm includes Raid and Wind conditions.</x:t>
  </x:si>
  <x:si>
    <x:t xml:space="preserve">Reroll any ’Mech that does not have jump movement; the result of the second roll must be accepted.</x:t>
  </x:si>
  <x:si>
    <x:t xml:space="preserve">DELTA GALAXY “GYRFALCON”</x:t>
  </x:si>
  <x:si>
    <x:t xml:space="preserve">Galaxy Commander Samantha Clees</x:t>
  </x:si>
  <x:si>
    <x:t xml:space="preserve">First Falcon Striker Cluster “The Pursuing Peregrines”</x:t>
  </x:si>
  <x:si>
    <x:t xml:space="preserve">3 Medium ’Mech Trinaries, Battle Armor Trinary, Aerospace Trinary, Command Star</x:t>
  </x:si>
  <x:si>
    <x:t xml:space="preserve">Star Colonel Rard Hoyt</x:t>
  </x:si>
  <x:si>
    <x:t xml:space="preserve">Second Falcon Jaegers “The Frost Falcons”</x:t>
  </x:si>
  <x:si>
    <x:t xml:space="preserve">Overrun Combat, Focus/ Demoralizer</x:t>
  </x:si>
  <x:si>
    <x:t xml:space="preserve">Star Colonel Marthe Pryde</x:t>
  </x:si>
  <x:si>
    <x:t xml:space="preserve">Clan Wolf</x:t>
  </x:si>
  <x:si>
    <x:t xml:space="preserve">ilKhan Ulric Kerensky</x:t>
  </x:si>
  <x:si>
    <x:t xml:space="preserve">Logistics: Exclusive to Clan Wolf. A force with Logistics reduces all Warchest Point and Support Point costs by 10%.</x:t>
  </x:si>
  <x:si>
    <x:t xml:space="preserve">The Adder, Ice Ferret, Timber Wolf and Gargoyle are common Wolf ’Mechs. A Clan Wolf Campaign Force may replace one OmniMech per Star with one of the above of the same weight class (light, medium, heavy, assault). The player may choose the configuration (Prime, A, B, C or D).</x:t>
  </x:si>
  <x:si>
    <x:t xml:space="preserve">ALPHA GALAXY “THE DIRE WOLVES”</x:t>
  </x:si>
  <x:si>
    <x:t xml:space="preserve">Khan Natasha Kerensky</x:t>
  </x:si>
  <x:si>
    <x:t xml:space="preserve">539</x:t>
  </x:si>
  <x:si>
    <x:t xml:space="preserve">Thirteenth Wolf Guard “The Wolf Spiders”</x:t>
  </x:si>
  <x:si>
    <x:t xml:space="preserve">3 Heavy ’Mech Trinaries, Heavy ’Mech Binary, Battle Armor Trinary, Aerospace Binary, Command Star</x:t>
  </x:si>
  <x:si>
    <x:t xml:space="preserve">Walking Death, Forcing the Initiative, Logistics</x:t>
  </x:si>
  <x:si>
    <x:t xml:space="preserve">BETA GALAXY “THE ARCTIC WOLVES”</x:t>
  </x:si>
  <x:si>
    <x:t xml:space="preserve">SaKhan Garth Radick</x:t>
  </x:si>
  <x:si>
    <x:t xml:space="preserve">352nd Assault Cluster “The Silver Wolves”</x:t>
  </x:si>
  <x:si>
    <x:t xml:space="preserve">4 Heavy ’Mech Trinaries, Battle Armor Binary, Aerospace Star</x:t>
  </x:si>
  <x:si>
    <x:t xml:space="preserve">GAMMA GALAXY “THE WOLF HUSSARS”</x:t>
  </x:si>
  <x:si>
    <x:t xml:space="preserve">Galaxy Commander Mikel Furey</x:t>
  </x:si>
  <x:si>
    <x:t xml:space="preserve">Eleventh Battle Cluster “The Bronze Lancers”</x:t>
  </x:si>
  <x:si>
    <x:t xml:space="preserve">4 Medium ’Mech Trinaries, Aerospace Trinary</x:t>
  </x:si>
  <x:si>
    <x:t xml:space="preserve">Off- Map Movement, Rapid Strike, Logistics</x:t>
  </x:si>
  <x:si>
    <x:t xml:space="preserve">Star Colonel Abioseh Winson</x:t>
  </x:si>
  <x:si>
    <x:t xml:space="preserve">The Bronze Lancers have a reputation for earning individual glory. However, they’ve had a run of bad luck as they are seemingly cursed.</x:t>
  </x:si>
  <x:si>
    <x:t xml:space="preserve">A Campaign Force drawn from the Eleventh Battle Cluster receives +10% bonus to any WP earned in a track. Once per track, an opponent may choose to force the Wolf side to reroll any roll made during the Turn (i.e., not during Game Setup). If this reroll does not cause the roll to fail, the opponent player may use this ability again during a later Turn. Once this ability causes a roll to fail, it cannot be used again this track.</x:t>
  </x:si>
  <x:si>
    <x:t xml:space="preserve">DELTA GALAXY “THE RED WOLVES”</x:t>
  </x:si>
  <x:si>
    <x:t xml:space="preserve">Galaxy Commander Conal Ward</x:t>
  </x:si>
  <x:si>
    <x:t xml:space="preserve">Eleventh Wolf Guards Cluster “The Lightning Pack”</x:t>
  </x:si>
  <x:si>
    <x:t xml:space="preserve">Medium Supernova, 3 Medium ’Mech Trinaries, Aerospace Trinary</x:t>
  </x:si>
  <x:si>
    <x:t xml:space="preserve">Hit and Run, Flankers, Logistics</x:t>
  </x:si>
  <x:si>
    <x:t xml:space="preserve">Star Colonel John Ward</x:t>
  </x:si>
  <x:si>
    <x:t xml:space="preserve">If a Campaign Force is drawn from the Eleventh Wolf Guards, no more than one ’Mech per Star may be heavier than a medium ’Mech, and no assault ’Mechs may be selected. The Eleventh Wolf Guards may reroll any light or medium ’Mech assignment roll.</x:t>
  </x:si>
  <x:si>
    <x:t xml:space="preserve">Precentor Martial Anastasius Focht</x:t>
  </x:si>
  <x:si>
    <x:t xml:space="preserve">Fifth Army</x:t>
  </x:si>
  <x:si>
    <x:t xml:space="preserve">Precentor Louis Burkenbine</x:t>
  </x:si>
  <x:si>
    <x:t xml:space="preserve">401st Division “The White Eagles”</x:t>
  </x:si>
  <x:si>
    <x:t xml:space="preserve">Regular</x:t>
  </x:si>
  <x:si>
    <x:t xml:space="preserve">Anti-’Mech Training</x:t>
  </x:si>
  <x:si>
    <x:t xml:space="preserve">Precentor Cathilly Yseth</x:t>
  </x:si>
  <x:si>
    <x:t xml:space="preserve">207th Division “The Pounders”</x:t>
  </x:si>
  <x:si>
    <x:t xml:space="preserve">Forcing the Initiative, Focus: Weapon Specialist (pick one laser type)</x:t>
  </x:si>
  <x:si>
    <x:t xml:space="preserve">Precentor Jamy Cygnor</x:t>
  </x:si>
  <x:si>
    <x:t xml:space="preserve">323rd Division “Negative Communications”</x:t>
  </x:si>
  <x:si>
    <x:t xml:space="preserve">Tactical Specialization/Defense, Environmental Specialization/Mountains</x:t>
  </x:si>
  <x:si>
    <x:t xml:space="preserve">Precentor Mari Rennery</x:t>
  </x:si>
  <x:si>
    <x:t xml:space="preserve">Environmental Specialization/Mountains applies to level changes for Improved Mobility, and partial cover for Improved Combat, as long as the level change is not underwater or the partial cover created by water.</x:t>
  </x:si>
  <x:si>
    <x:t xml:space="preserve">299th Division “Courtesy Through Thought”</x:t>
  </x:si>
  <x:si>
    <x:t xml:space="preserve">Stiff Spine, Tactical Adjustments</x:t>
  </x:si>
  <x:si>
    <x:t xml:space="preserve">Precentor Peter Fedt</x:t>
  </x:si>
  <x:si>
    <x:t xml:space="preserve">Precentor VIII Maurice Naddeo</x:t>
  </x:si>
  <x:si>
    <x:t xml:space="preserve">31st Division “Static Hurlers”</x:t>
  </x:si>
  <x:si>
    <x:t xml:space="preserve">Overrun Combat, Off-map Movement</x:t>
  </x:si>
  <x:si>
    <x:t xml:space="preserve">Precentor IV Daniel Mueller</x:t>
  </x:si>
  <x:si>
    <x:t xml:space="preserve">The Thirty-first Division has received Griffin GRF-3M and Crusader CRD-5M units from Oliver. A Campaign Force from this division may replace one BattleMech per Level II with one of the above of the same weight class (medium or heavy, respectively).</x:t>
  </x:si>
  <x:si>
    <x:t xml:space="preserve">56th Division “Eyes of ComStar”</x:t>
  </x:si>
  <x:si>
    <x:t xml:space="preserve">Green</x:t>
  </x:si>
  <x:si>
    <x:t xml:space="preserve">Environmental Specialization / Urban</x:t>
  </x:si>
  <x:si>
    <x:t xml:space="preserve">Precentor IV David</x:t>
  </x:si>
  <x:si>
    <x:t xml:space="preserve">85th Division “Lions of the Periphery”</x:t>
  </x:si>
  <x:si>
    <x:t xml:space="preserve">Esprit de Corps</x:t>
  </x:si>
  <x:si>
    <x:t xml:space="preserve">Precentor VI Trent Arian</x:t>
  </x:si>
  <x:si>
    <x:t xml:space="preserve">182nd Division “Standing Waves”</x:t>
  </x:si>
  <x:si>
    <x:t xml:space="preserve">Flankers</x:t>
  </x:si>
  <x:si>
    <x:t xml:space="preserve">Precentor VII Lawrence Colello</x:t>
  </x:si>
  <x:si>
    <x:t xml:space="preserve">Precentor V Katherine Luarca</x:t>
  </x:si>
  <x:si>
    <x:t xml:space="preserve">Twelfth Division “Pure Waveforms”</x:t>
  </x:si>
  <x:si>
    <x:t xml:space="preserve">Focus/Hot Dog, Environmental Specialization/Smoke</x:t>
  </x:si>
  <x:si>
    <x:t xml:space="preserve">Precentor IV Robert Jodin</x:t>
  </x:si>
  <x:si>
    <x:t xml:space="preserve">Prior to the Clan Invasion, the Twelfth Division was headquartered on the Draconis Combine world of Galedon IV. As part of the Second Army, it was a conduit of Com Guards hardware to the DCMS, for which it received a large amount of DCMS hardware in return, including early C3 systems.</x:t>
  </x:si>
  <x:si>
    <x:t xml:space="preserve">Campaign Forces drawn from the Twelfth Division may replace up to four ’Mechs with Hatamoto-Chi HTM-CM, Grand Dragon DRG-C, Panther PNT-C and/or Jenner JR7-C.</x:t>
  </x:si>
  <x:si>
    <x:t xml:space="preserve">Ninety-first Division “Vision of Words”</x:t>
  </x:si>
  <x:si>
    <x:t xml:space="preserve">Stiff Spine, Esprit de Corps</x:t>
  </x:si>
  <x:si>
    <x:t xml:space="preserve">Precentor IV Dann Brockton</x:t>
  </x:si>
  <x:si>
    <x:t xml:space="preserve">Prior to the Clan Invasion, the Ninety-first Division was headquartered on the Draconis Combine world of Pesht. The Ninety-first operates an unusually large number of heavy and assault units, which enhances their ability to stand up to Clan opponents.</x:t>
  </x:si>
  <x:si>
    <x:t xml:space="preserve">Campaign Forces drawn from the Ninety-first Division may not roll or assign any light (AS: Size 1) ’Mechs, and at most one Medium ’Mech (AS: Size 2) per Level II.</x:t>
  </x:si>
  <x:si>
    <x:t xml:space="preserve">121st Division “Effective Actions”</x:t>
  </x:si>
  <x:si>
    <x:t xml:space="preserve">(Select One) Environmental Specialization/Woods, Tactical Specialization/Small Unit Actions</x:t>
  </x:si>
  <x:si>
    <x:t xml:space="preserve">Precentor IV Herbert Moeheng</x:t>
  </x:si>
  <x:si>
    <x:t xml:space="preserve">Prior to the Clan Invasion, the 121st Division was headquartered on the Draconis Combine world of Galtor III. As part of the First Army it was a conduit of Com Guards hardware to the DCMS, for which it received a large amount of DCMS hardware in return.</x:t>
  </x:si>
  <x:si>
    <x:t xml:space="preserve">The 121st Division has received Wolverine WVR-7Ks and Griffin GRF-1DSs from Marduk. A Campaign Force drawn from the 121st Division may replace one medium BattleMech per Level II with one of the above.</x:t>
  </x:si>
  <x:si>
    <x:t xml:space="preserve">Precentor V Aryon</x:t>
  </x:si>
  <x:si>
    <x:t xml:space="preserve">90th Division “Gentle Persuasion”</x:t>
  </x:si>
  <x:si>
    <x:t xml:space="preserve">Tactical Specialization/Attack</x:t>
  </x:si>
  <x:si>
    <x:t xml:space="preserve">Precentor IV Donylvan O’Neil</x:t>
  </x:si>
  <x:si>
    <x:t xml:space="preserve">The Fourth Army came from the Bryant Theatre, and was assigned a reserve role on Tukayyid.
Prior to the Clan Invasion, Ninetieth Division was posted to the Fourth Army with its headquarters on the Federated Suns world of Chesterton. A ’Mech-heavy formation, almost all of the Ninetieth’s vehicles are artillery assets.</x:t>
  </x:si>
  <x:si>
    <x:t xml:space="preserve">A Campaign Force drawn from the Ninetieth Division may purchase Artillery support with Battlefield Support Points for one less point each (to a minimum of 1 point per Artillery attack).</x:t>
  </x:si>
  <x:si>
    <x:t xml:space="preserve">Precentor V Myke Trujillo</x:t>
  </x:si>
  <x:si>
    <x:t xml:space="preserve">The Sixth Army came from Marik space to face Clan Steel Viper, barely arriving in time for the battle. Considered the least-experienced Com Guard army despite the presence of the elite First Division, the Sixth Army fought as valiantly as any on Tukayyid, though most of its component divisions were destroyed or disbanded after the battle.</x:t>
  </x:si>
  <x:si>
    <x:t xml:space="preserve">First Division “Strong Retaliation”</x:t>
  </x:si>
  <x:si>
    <x:t xml:space="preserve">Forcing the Initiative, Focus/Melee Master, Disruption</x:t>
  </x:si>
  <x:si>
    <x:t xml:space="preserve">Precentor IV Peter McGillaray</x:t>
  </x:si>
  <x:si>
    <x:t xml:space="preserve">From the earliest days of the Com Guards, the First Division has maintained a pride and discipline unmatched by most of their comrades.
Disruption: A Campaign Force drawn from the First Division receives a +1 modifier to its Initiative Roll (to a maximum of +2) for each functioning ECM in a deployed force. This bonus is cumulative with other modifiers.</x:t>
  </x:si>
  <x:si>
    <x:t xml:space="preserve">As the premier Com Guards division, one BattleMech per Level II may be a Star League Royal variant. A medium BattleMech may be replaced with a Griffin GRF-2N, a heavy BattleMech with a Catapult CPLTC1b or an assault BattleMech with a BattleMaster BLR-1Gb.</x:t>
  </x:si>
  <x:si>
    <x:t xml:space="preserve">Sixth Division “Alert Words”</x:t>
  </x:si>
  <x:si>
    <x:t xml:space="preserve">Off-Map Movement</x:t>
  </x:si>
  <x:si>
    <x:t xml:space="preserve">Precentor IV Beeshor Yekel</x:t>
  </x:si>
  <x:si>
    <x:t xml:space="preserve">Composed of a mix of loyal Terran sons and FWL converts, the Sixth Division specialized in ambush tactics. Unfortunately, Precentor Yekel never failed to overestimate or oversell the abilities of his troops, leading them to be the first to face the Steel Vipers, and the first to die.</x:t>
  </x:si>
  <x:si>
    <x:t xml:space="preserve">Seventy-eighth Division “Vigorous Defiance”</x:t>
  </x:si>
  <x:si>
    <x:t xml:space="preserve">Environmental Specialization/Swamp</x:t>
  </x:si>
  <x:si>
    <x:t xml:space="preserve">Precentor IV Felicity Lucha</x:t>
  </x:si>
  <x:si>
    <x:t xml:space="preserve">The Seventy-eighth Division’s extensive training in swampy environs made them especially effective against the Steel Vipers in the Nestlie River Delta. For their Environmental Specialization, any Level 0 or 1 water, mud, or swamp terrain hexes count as swamp environment.</x:t>
  </x:si>
  <x:si>
    <x:t xml:space="preserve">386th Division “The Victors”</x:t>
  </x:si>
  <x:si>
    <x:t xml:space="preserve">Precentor IV Glennis Luddinton</x:t>
  </x:si>
  <x:si>
    <x:t xml:space="preserve">The unit’s nickname comes not from victory in battle, but from the preponderance of Victor assault ’Mechs in their ranks. To reflect this, any assault ’Mech in the 386th may be replaced with a Victor (VTR-9A, -9A1 or -9B).</x:t>
  </x:si>
  <x:si>
    <x:t xml:space="preserve">Precentor Richard Colombini</x:t>
  </x:si>
  <x:si>
    <x:t xml:space="preserve">The Seventh Army came from the Talitha Theatre and was assigned the senior position against the Nova Cats.</x:t>
  </x:si>
  <x:si>
    <x:t xml:space="preserve">Ninth Division “Bountiful Words”</x:t>
  </x:si>
  <x:si>
    <x:t xml:space="preserve">Tactical Specialization/Defense, Off-Map Movement</x:t>
  </x:si>
  <x:si>
    <x:t xml:space="preserve">Precentor Zuam Nicodemus</x:t>
  </x:si>
  <x:si>
    <x:t xml:space="preserve">Serving on Regulus prior to Tukayyid, the Ninth Division refitted a number of Warhammers in the Free Worlds League. A Campaign Force drawn from the Ninth Division may replace any one medium or heavy ’Mech per Level II with a Warhammer WHM-7M.</x:t>
  </x:si>
  <x:si>
    <x:t xml:space="preserve">244th Division “Peace Through Words”</x:t>
  </x:si>
  <x:si>
    <x:t xml:space="preserve">Overrun Combat</x:t>
  </x:si>
  <x:si>
    <x:t xml:space="preserve">Precentor Eric Duvea</x:t>
  </x:si>
  <x:si>
    <x:t xml:space="preserve">The 244th Division sourced Locust LCT-3M, Wolverine WVR-7M, and Marauder MAD-5M BattleMechs before leaving their previous garrison on Gibson. A Campaign Force drawn from the 244th Division may replace any one ’Mech per Level II with one of the above of the same weight class.</x:t>
  </x:si>
  <x:si>
    <x:t xml:space="preserve">417th Division “Major Trouble”</x:t>
  </x:si>
  <x:si>
    <x:t xml:space="preserve">Ground Attack Specialists, Tactical Experts/Engineers</x:t>
  </x:si>
  <x:si>
    <x:t xml:space="preserve">Precentor Amanda Blackthorn</x:t>
  </x:si>
  <x:si>
    <x:t xml:space="preserve">The 417th has been equipped with extra aerospace fighters. If using the full Battlefield Support Rules (see BMM, p. 75), a Campaign Force drawn from the 417th Division receives two aerospace strikes for each aerospace strike purchased with Battlefield Support rules, for each of their first three aerospace strike purchases for each track.</x:t>
  </x:si>
  <x:si>
    <x:t xml:space="preserve">467th Division “Whirlwinds”</x:t>
  </x:si>
  <x:si>
    <x:t xml:space="preserve">Precentor Terry Shykes</x:t>
  </x:si>
  <x:si>
    <x:t xml:space="preserve">The 467th has been equipped with extra infantry. A Campaign Force drawn from the 467th Division receives two infantry units for each infantry unit purchased with Battlefield Support Points, for each of their first three infantry unit purchases for each track.</x:t>
  </x:si>
  <x:si>
    <x:t xml:space="preserve">Precentor VII Alexander Crocus</x:t>
  </x:si>
  <x:si>
    <x:t xml:space="preserve">Seventy-seventh Division “The White Monsters”</x:t>
  </x:si>
  <x:si>
    <x:t xml:space="preserve">Focus/Marksman</x:t>
  </x:si>
  <x:si>
    <x:t xml:space="preserve">Precentor VI Victoria Minnick</x:t>
  </x:si>
  <x:si>
    <x:t xml:space="preserve">Precentor VII Marty Jby</x:t>
  </x:si>
  <x:si>
    <x:t xml:space="preserve">201st Division “Snow on the Mountains”</x:t>
  </x:si>
  <x:si>
    <x:t xml:space="preserve">Focus/Terrain Master (Mountaineer)</x:t>
  </x:si>
  <x:si>
    <x:t xml:space="preserve">Precentor VI Oscar Wetzel</x:t>
  </x:si>
  <x:si>
    <x:t xml:space="preserve">A Campaign Force drawn from this division may reroll any Fire Level II availability roll, selecting either roll as the final result.</x:t>
  </x:si>
  <x:si>
    <x:t xml:space="preserve">Precentor VII Marvin Stinson</x:t>
  </x:si>
  <x:si>
    <x:t xml:space="preserve">388th Division “The White Banshees”</x:t>
  </x:si>
  <x:si>
    <x:t xml:space="preserve">Sharpshooters</x:t>
  </x:si>
  <x:si>
    <x:t xml:space="preserve">Precentor VI Gerard Philblad</x:t>
  </x:si>
  <x:si>
    <x:t xml:space="preserve">The 388th Division has received Rifleman RFL-5D and BattleMaster BLR-3S BattleMechs from Pandora. A Campaign Force drawn from this division may replace one BattleMech per Level II with one of the above of the same weight class (heavy or assault).</x:t>
  </x:si>
  <x:si>
    <x:t xml:space="preserve">Precentor VII Anna Landaker</x:t>
  </x:si>
  <x:si>
    <x:t xml:space="preserve">394th Division “The White Lions”</x:t>
  </x:si>
  <x:si>
    <x:t xml:space="preserve">Forcing the Initiative, Rapid Strike</x:t>
  </x:si>
  <x:si>
    <x:t xml:space="preserve">Precentor VI Anna Gesicki</x:t>
  </x:si>
  <x:si>
    <x:t xml:space="preserve">Precentor VII Joyce Mulvenna</x:t>
  </x:si>
  <x:si>
    <x:t xml:space="preserve">The Ninth Army came from the New Earth Theatre and was assigned to defend Brzo against the Wolves.</x:t>
  </x:si>
  <x:si>
    <x:t xml:space="preserve">198th Division “Outer Limits Warriors”</x:t>
  </x:si>
  <x:si>
    <x:t xml:space="preserve">Precentor VI Tammy Aronspack</x:t>
  </x:si>
  <x:si>
    <x:t xml:space="preserve">The 198th Division requisitioned many tanks from the New Earth Trading Company before heading to Tukayyid.</x:t>
  </x:si>
  <x:si>
    <x:t xml:space="preserve">If using Battlefield Support rules for vehicles, a Campaign Force drawn from this division may purchase Medium and Heavy Tracked Combat Vehicles for 1 less Battlefield Support Point.</x:t>
  </x:si>
  <x:si>
    <x:t xml:space="preserve">366th Division “ComStar Lancers”</x:t>
  </x:si>
  <x:si>
    <x:t xml:space="preserve">Tactical Specialization/Small Unit Actions</x:t>
  </x:si>
  <x:si>
    <x:t xml:space="preserve">Precentor VI Drago Pulisevich</x:t>
  </x:si>
  <x:si>
    <x:t xml:space="preserve">The 366th Division requisitioned many tanks from the New Earth Trading Company before heading to Tukayyid.</x:t>
  </x:si>
  <x:si>
    <x:t xml:space="preserve">Precentor VII Boris Myrvang</x:t>
  </x:si>
  <x:si>
    <x:t xml:space="preserve">The Tenth Army came from the Rigil Kentarus Theatre and was assigned to defend Skupo against the Wolves.</x:t>
  </x:si>
  <x:si>
    <x:t xml:space="preserve">Sixty-sixth Division “Obedience Above All”</x:t>
  </x:si>
  <x:si>
    <x:t xml:space="preserve">Esprit de Corps, Rapid Strike, Focus/Weapon Specialist (must be a laser)</x:t>
  </x:si>
  <x:si>
    <x:t xml:space="preserve">Precentor VI Lucynda Glemzu</x:t>
  </x:si>
  <x:si>
    <x:t xml:space="preserve">82nd Division “Clear Thoughts”</x:t>
  </x:si>
  <x:si>
    <x:t xml:space="preserve">Hold The Line, Environmental Specialization/Woods</x:t>
  </x:si>
  <x:si>
    <x:t xml:space="preserve">Precentor VI Vincent Wollarn</x:t>
  </x:si>
  <x:si>
    <x:t xml:space="preserve">Prior to the Clan Invasion, the 282nd Division was headquartered on the Lyran Commonwealth capital world of Tharkad. Before heading to Tukayyid, they were able to purchase several Crusaders from TharHes Industries. TharHes also provided a single Bushwacker BSW-X1 prototype. This prototype has electronics glitches.</x:t>
  </x:si>
  <x:si>
    <x:t xml:space="preserve">A Campaign Force drawn from this division may replace up to one heavy BattleMech per Level II with a Crusader CRD-5S. The 282nd Division may replace a single medium BattleMech with a Bushwacker BSW-X1 which has the EM Interference and Sensor Ghosts design quirks (see Negative Design Quirks, p. 86, BMM).</x:t>
  </x:si>
  <x:si>
    <x:t xml:space="preserve">Clan</x:t>
  </x:si>
  <x:si>
    <x:t xml:space="preserve">Clan Galaxy</x:t>
  </x:si>
  <x:si>
    <x:t xml:space="preserve">ComStar Army</x:t>
  </x:si>
  <x:si>
    <x:t xml:space="preserve">ComStar Unit</x:t>
  </x:si>
  <x:si>
    <x:t xml:space="preserve">CLAN UNIT COST TABLE</x:t>
  </x:si>
  <x:si>
    <x:t xml:space="preserve">COMSTAR UNIT COST TABLE</x:t>
  </x:si>
  <x:si>
    <x:t xml:space="preserve">Clan Unit Type</x:t>
  </x:si>
  <x:si>
    <x:t xml:space="preserve">Heroic</x:t>
  </x:si>
  <x:si>
    <x:t xml:space="preserve">ComStar Unit Type</x:t>
  </x:si>
  <x:si>
    <x:t xml:space="preserve">Light Front-Line ’Mech</x:t>
  </x:si>
  <x:si>
    <x:t xml:space="preserve">Light ’Mech</x:t>
  </x:si>
  <x:si>
    <x:t xml:space="preserve">Medium Front-Line ’Mech</x:t>
  </x:si>
  <x:si>
    <x:t xml:space="preserve">Medium ’Mech</x:t>
  </x:si>
  <x:si>
    <x:t xml:space="preserve">Heavy Front-Line ’Mech</x:t>
  </x:si>
  <x:si>
    <x:t xml:space="preserve">Heavy ’Mech</x:t>
  </x:si>
  <x:si>
    <x:t xml:space="preserve">Assault Front-Line ’Mech</x:t>
  </x:si>
  <x:si>
    <x:t xml:space="preserve">Assault ’Mech</x:t>
  </x:si>
  <x:si>
    <x:t xml:space="preserve">Light Second-Line ’Mech</x:t>
  </x:si>
  <x:si>
    <x:t xml:space="preserve">Medium Second-Line ’Mech</x:t>
  </x:si>
  <x:si>
    <x:t xml:space="preserve">Heavy Second-Line ’Mech</x:t>
  </x:si>
  <x:si>
    <x:t xml:space="preserve">BATTLEFIELD SUPPORT COST TABLE</x:t>
  </x:si>
  <x:si>
    <x:t xml:space="preserve">Assault Second-Line ’Mech</x:t>
  </x:si>
  <x:si>
    <x:t xml:space="preserve">Cost Method</x:t>
  </x:si>
  <x:si>
    <x:t xml:space="preserve">Cost per BSP</x:t>
  </x:si>
  <x:si>
    <x:t xml:space="preserve">Battle Armor Point</x:t>
  </x:si>
  <x:si>
    <x:t xml:space="preserve">Battle Value</x:t>
  </x:si>
  <x:si>
    <x:t xml:space="preserve">Point Value</x:t>
  </x:si>
  <x:si>
    <x:t xml:space="preserve">EXPERIENCE RATING TABLE</x:t>
  </x:si>
  <x:si>
    <x:t xml:space="preserve">Experience Level</x:t>
  </x:si>
  <x:si>
    <x:t xml:space="preserve">Piloting Skill</x:t>
  </x:si>
  <x:si>
    <x:t xml:space="preserve">Gunnery Skill</x:t>
  </x:si>
  <x:si>
    <x:t xml:space="preserve">Maximum additional BSP: Star 6, Binary 12, Trinary 18. Clan purchases require Full Battlefield Support rules.</x:t>
  </x:si>
  <x:si>
    <x:t xml:space="preserve">FORMATION SYSTEM RULES</x:t>
  </x:si>
  <x:si>
    <x:t xml:space="preserve">Rule</x:t>
  </x:si>
  <x:si>
    <x:t xml:space="preserve">Builder interpretation</x:t>
  </x:si>
  <x:si>
    <x:t xml:space="preserve">Optional system</x:t>
  </x:si>
  <x:si>
    <x:t xml:space="preserve">Composition requirements are enforced only when optional Formation bonus abilities are enabled.</x:t>
  </x:si>
  <x:si>
    <x:t xml:space="preserve">Percentage rounding</x:t>
  </x:si>
  <x:si>
    <x:t xml:space="preserve">Multiply the percentage by the Formation’s actual unit count and always round up.</x:t>
  </x:si>
  <x:si>
    <x:t xml:space="preserve">One Type</x:t>
  </x:si>
  <x:si>
    <x:t xml:space="preserve">A Formation may have only one designated Type in a scenario, even if it qualifies for several.</x:t>
  </x:si>
  <x:si>
    <x:t xml:space="preserve">Ideal Role</x:t>
  </x:si>
  <x:si>
    <x:t xml:space="preserve">If every unit has the listed Ideal Role, all normal requirements are considered met.</x:t>
  </x:si>
  <x:si>
    <x:t xml:space="preserve">Variation replacement</x:t>
  </x:si>
  <x:si>
    <x:t xml:space="preserve">A variation replaces the basic requirements and bonuses unless it explicitly says it adds to or uses the basic rules.</x:t>
  </x:si>
  <x:si>
    <x:t xml:space="preserve">Variation Ideal Role</x:t>
  </x:si>
  <x:si>
    <x:t xml:space="preserve">A variation receives an Ideal Role shortcut only when that variation explicitly lists one.</x:t>
  </x:si>
  <x:si>
    <x:t xml:space="preserve">Free bonuses</x:t>
  </x:si>
  <x:si>
    <x:t xml:space="preserve">Formation bonuses cost no FP, BV, PV, or SPA points, but individual units must meet an ability’s requisites.</x:t>
  </x:si>
  <x:si>
    <x:t xml:space="preserve">Duplicate abilities</x:t>
  </x:si>
  <x:si>
    <x:t xml:space="preserve">Duplicate abilities do not stack unless the ability or Formation rule explicitly permits it.</x:t>
  </x:si>
  <x:si>
    <x:t xml:space="preserve">Active-unit threshold</x:t>
  </x:si>
  <x:si>
    <x:t xml:space="preserve">Formation bonuses remain active while at least three Formation units are neither destroyed nor routed.</x:t>
  </x:si>
  <x:si>
    <x:t xml:space="preserve">Scenario changes</x:t>
  </x:si>
  <x:si>
    <x:t xml:space="preserve">A Formation Type may change between scenarios if its current composition meets the new Type’s criteria.</x:t>
  </x:si>
  <x:si>
    <x:t xml:space="preserve">FORMATION CATALOG</x:t>
  </x:si>
  <x:si>
    <x:t xml:space="preserve">Active rows can be used by the current builder. Deferred, excluded, and RAT-only rows are retained for auditability and future expansion.</x:t>
  </x:si>
  <x:si>
    <x:t xml:space="preserve">Formation ID</x:t>
  </x:si>
  <x:si>
    <x:t xml:space="preserve">Family</x:t>
  </x:si>
  <x:si>
    <x:t xml:space="preserve">Formation / Variation</x:t>
  </x:si>
  <x:si>
    <x:t xml:space="preserve">Kind</x:t>
  </x:si>
  <x:si>
    <x:t xml:space="preserve">Status</x:t>
  </x:si>
  <x:si>
    <x:t xml:space="preserve">Applies To</x:t>
  </x:si>
  <x:si>
    <x:t xml:space="preserve">Requirement Relationship</x:t>
  </x:si>
  <x:si>
    <x:t xml:space="preserve">RAT Table</x:t>
  </x:si>
  <x:si>
    <x:t xml:space="preserve">Secondary RAT?</x:t>
  </x:si>
  <x:si>
    <x:t xml:space="preserve">Reason / Notes</x:t>
  </x:si>
  <x:si>
    <x:t xml:space="preserve">ASSAULT</x:t>
  </x:si>
  <x:si>
    <x:t xml:space="preserve">Basic</x:t>
  </x:si>
  <x:si>
    <x:t xml:space="preserve">Active</x:t>
  </x:si>
  <x:si>
    <x:t xml:space="preserve">Clan and ComStar</x:t>
  </x:si>
  <x:si>
    <x:t xml:space="preserve">Juggernaut</x:t>
  </x:si>
  <x:si>
    <x:t xml:space="preserve">No</x:t>
  </x:si>
  <x:si>
    <x:t xml:space="preserve">Standard Assault Formation.</x:t>
  </x:si>
  <x:si>
    <x:t xml:space="preserve">ASSAULT_ANVIL</x:t>
  </x:si>
  <x:si>
    <x:t xml:space="preserve">Anvil</x:t>
  </x:si>
  <x:si>
    <x:t xml:space="preserve">Variation</x:t>
  </x:si>
  <x:si>
    <x:t xml:space="preserve">Excluded</x:t>
  </x:si>
  <x:si>
    <x:t xml:space="preserve">House Marik</x:t>
  </x:si>
  <x:si>
    <x:t xml:space="preserve">Replaces base</x:t>
  </x:si>
  <x:si>
    <x:t xml:space="preserve">House Marik exclusive.</x:t>
  </x:si>
  <x:si>
    <x:t xml:space="preserve">ASSAULT_FAST</x:t>
  </x:si>
  <x:si>
    <x:t xml:space="preserve">Fast Assault</x:t>
  </x:si>
  <x:si>
    <x:t xml:space="preserve">Adds to base</x:t>
  </x:si>
  <x:si>
    <x:t xml:space="preserve">None</x:t>
  </x:si>
  <x:si>
    <x:t xml:space="preserve">Retains the basic Assault requirements and bonus.</x:t>
  </x:si>
  <x:si>
    <x:t xml:space="preserve">ASSAULT_HUNTER</x:t>
  </x:si>
  <x:si>
    <x:t xml:space="preserve">Hunter</x:t>
  </x:si>
  <x:si>
    <x:t xml:space="preserve">Ambusher</x:t>
  </x:si>
  <x:si>
    <x:t xml:space="preserve">BATTLE</x:t>
  </x:si>
  <x:si>
    <x:t xml:space="preserve">Brawler</x:t>
  </x:si>
  <x:si>
    <x:t xml:space="preserve">BATTLE_LIGHT</x:t>
  </x:si>
  <x:si>
    <x:t xml:space="preserve">Light Battle</x:t>
  </x:si>
  <x:si>
    <x:t xml:space="preserve">BATTLE_MEDIUM</x:t>
  </x:si>
  <x:si>
    <x:t xml:space="preserve">Medium Battle</x:t>
  </x:si>
  <x:si>
    <x:t xml:space="preserve">BATTLE_HEAVY</x:t>
  </x:si>
  <x:si>
    <x:t xml:space="preserve">Heavy Battle</x:t>
  </x:si>
  <x:si>
    <x:t xml:space="preserve">BATTLE_RIFLE</x:t>
  </x:si>
  <x:si>
    <x:t xml:space="preserve">Rifle</x:t>
  </x:si>
  <x:si>
    <x:t xml:space="preserve">House Davion</x:t>
  </x:si>
  <x:si>
    <x:t xml:space="preserve">House Davion exclusive.</x:t>
  </x:si>
  <x:si>
    <x:t xml:space="preserve">BATTLE_BERSERKER</x:t>
  </x:si>
  <x:si>
    <x:t xml:space="preserve">Berserker / Close Combat</x:t>
  </x:si>
  <x:si>
    <x:t xml:space="preserve">Uses base requirements</x:t>
  </x:si>
  <x:si>
    <x:t xml:space="preserve">Replaces the basic Battle bonus.</x:t>
  </x:si>
  <x:si>
    <x:t xml:space="preserve">COMMAND</x:t>
  </x:si>
  <x:si>
    <x:t xml:space="preserve">Selected secondary Type</x:t>
  </x:si>
  <x:si>
    <x:t xml:space="preserve">Yes</x:t>
  </x:si>
  <x:si>
    <x:t xml:space="preserve">First Command Formation contains the Force commander; later Command Formations contain key lieutenants.</x:t>
  </x:si>
  <x:si>
    <x:t xml:space="preserve">COMMAND_ORDER</x:t>
  </x:si>
  <x:si>
    <x:t xml:space="preserve">Order</x:t>
  </x:si>
  <x:si>
    <x:t xml:space="preserve">House Kurita</x:t>
  </x:si>
  <x:si>
    <x:t xml:space="preserve">House Kurita exclusive.</x:t>
  </x:si>
  <x:si>
    <x:t xml:space="preserve">COMMAND_VEHICLE</x:t>
  </x:si>
  <x:si>
    <x:t xml:space="preserve">Vehicle Command</x:t>
  </x:si>
  <x:si>
    <x:t xml:space="preserve">Vehicle forces</x:t>
  </x:si>
  <x:si>
    <x:t xml:space="preserve">Vehicle formation outside the current ’Mech builder.</x:t>
  </x:si>
  <x:si>
    <x:t xml:space="preserve">FIRE</x:t>
  </x:si>
  <x:si>
    <x:t xml:space="preserve">Missile Boat</x:t>
  </x:si>
  <x:si>
    <x:t xml:space="preserve">FIRE_ANTI_AIR</x:t>
  </x:si>
  <x:si>
    <x:t xml:space="preserve">Anti-Air</x:t>
  </x:si>
  <x:si>
    <x:t xml:space="preserve">Bonus replaces the basic Fire bonus.</x:t>
  </x:si>
  <x:si>
    <x:t xml:space="preserve">FIRE_ARTILLERY</x:t>
  </x:si>
  <x:si>
    <x:t xml:space="preserve">Artillery Fire</x:t>
  </x:si>
  <x:si>
    <x:t xml:space="preserve">FIRE_DIRECT</x:t>
  </x:si>
  <x:si>
    <x:t xml:space="preserve">Direct Fire</x:t>
  </x:si>
  <x:si>
    <x:t xml:space="preserve">FIRE_SUPPORT</x:t>
  </x:si>
  <x:si>
    <x:t xml:space="preserve">Fire Support</x:t>
  </x:si>
  <x:si>
    <x:t xml:space="preserve">FIRE_LIGHT</x:t>
  </x:si>
  <x:si>
    <x:t xml:space="preserve">Light Fire</x:t>
  </x:si>
  <x:si>
    <x:t xml:space="preserve">STRIKER</x:t>
  </x:si>
  <x:si>
    <x:t xml:space="preserve">Striker / Cavalry</x:t>
  </x:si>
  <x:si>
    <x:t xml:space="preserve">Striker and Cavalry are aliases for the same Formation.</x:t>
  </x:si>
  <x:si>
    <x:t xml:space="preserve">STRIKER_HAMMER</x:t>
  </x:si>
  <x:si>
    <x:t xml:space="preserve">Hammer</x:t>
  </x:si>
  <x:si>
    <x:t xml:space="preserve">STRIKER_HEAVY</x:t>
  </x:si>
  <x:si>
    <x:t xml:space="preserve">Heavy Striker / Cavalry</x:t>
  </x:si>
  <x:si>
    <x:t xml:space="preserve">STRIKER_HORDE</x:t>
  </x:si>
  <x:si>
    <x:t xml:space="preserve">Horde</x:t>
  </x:si>
  <x:si>
    <x:t xml:space="preserve">Formation must contain five to ten units.</x:t>
  </x:si>
  <x:si>
    <x:t xml:space="preserve">STRIKER_LIGHT</x:t>
  </x:si>
  <x:si>
    <x:t xml:space="preserve">Light Striker / Cavalry</x:t>
  </x:si>
  <x:si>
    <x:t xml:space="preserve">STRIKER_RANGER</x:t>
  </x:si>
  <x:si>
    <x:t xml:space="preserve">Ranger</x:t>
  </x:si>
  <x:si>
    <x:t xml:space="preserve">Skirmisher</x:t>
  </x:si>
  <x:si>
    <x:t xml:space="preserve">SUPPORT</x:t>
  </x:si>
  <x:si>
    <x:t xml:space="preserve">Support</x:t>
  </x:si>
  <x:si>
    <x:t xml:space="preserve">No composition requirements. Supported Formation is selected separately before a scenario.</x:t>
  </x:si>
  <x:si>
    <x:t xml:space="preserve">PHALANX</x:t>
  </x:si>
  <x:si>
    <x:t xml:space="preserve">Phalanx</x:t>
  </x:si>
  <x:si>
    <x:t xml:space="preserve">Phalanx / Molt</x:t>
  </x:si>
  <x:si>
    <x:t xml:space="preserve">Clan special</x:t>
  </x:si>
  <x:si>
    <x:t xml:space="preserve">Deferred</x:t>
  </x:si>
  <x:si>
    <x:t xml:space="preserve">Diamond Shark, Ghost Bear, Steel Viper</x:t>
  </x:si>
  <x:si>
    <x:t xml:space="preserve">Requires at least two unit types; unavailable in the current ’Mech-only builder.</x:t>
  </x:si>
  <x:si>
    <x:t xml:space="preserve">ROGUE</x:t>
  </x:si>
  <x:si>
    <x:t xml:space="preserve">Rogue</x:t>
  </x:si>
  <x:si>
    <x:t xml:space="preserve">Rogue Star</x:t>
  </x:si>
  <x:si>
    <x:t xml:space="preserve">At least two exact matching models and configurations.</x:t>
  </x:si>
  <x:si>
    <x:t xml:space="preserve">STRATEGIC_COMMAND</x:t>
  </x:si>
  <x:si>
    <x:t xml:space="preserve">Strategic Command Star</x:t>
  </x:si>
  <x:si>
    <x:t xml:space="preserve">Uses Command leadership</x:t>
  </x:si>
  <x:si>
    <x:t xml:space="preserve">Requires an aerospace fighter Point.</x:t>
  </x:si>
  <x:si>
    <x:t xml:space="preserve">RECON</x:t>
  </x:si>
  <x:si>
    <x:t xml:space="preserve">Recon</x:t>
  </x:si>
  <x:si>
    <x:t xml:space="preserve">Recon Star / Probe</x:t>
  </x:si>
  <x:si>
    <x:t xml:space="preserve">Clan type</x:t>
  </x:si>
  <x:si>
    <x:t xml:space="preserve">RAT only</x:t>
  </x:si>
  <x:si>
    <x:t xml:space="preserve">Incomplete</x:t>
  </x:si>
  <x:si>
    <x:t xml:space="preserve">Unknown</x:t>
  </x:si>
  <x:si>
    <x:t xml:space="preserve">Cannot field Assault ’Mechs; full requirements and bonus not yet supplied.</x:t>
  </x:si>
  <x:si>
    <x:t xml:space="preserve">PURSUIT</x:t>
  </x:si>
  <x:si>
    <x:t xml:space="preserve">Pursuit</x:t>
  </x:si>
  <x:si>
    <x:t xml:space="preserve">Pursuit Star / Sweep</x:t>
  </x:si>
  <x:si>
    <x:t xml:space="preserve">FORMATION VALIDATION REQUIREMENTS</x:t>
  </x:si>
  <x:si>
    <x:t xml:space="preserve">Requirements are evaluated per Formation. Percentage minima below already apply ceiling rounding for a five-unit Clan Star and six-unit ComStar Level II.</x:t>
  </x:si>
  <x:si>
    <x:t xml:space="preserve">Requirement ID</x:t>
  </x:si>
  <x:si>
    <x:t xml:space="preserve">Logic Group</x:t>
  </x:si>
  <x:si>
    <x:t xml:space="preserve">Scope</x:t>
  </x:si>
  <x:si>
    <x:t xml:space="preserve">Metric</x:t>
  </x:si>
  <x:si>
    <x:t xml:space="preserve">Operator</x:t>
  </x:si>
  <x:si>
    <x:t xml:space="preserve">Target / Threshold</x:t>
  </x:si>
  <x:si>
    <x:t xml:space="preserve">Clan Minimum</x:t>
  </x:si>
  <x:si>
    <x:t xml:space="preserve">ComStar Minimum</x:t>
  </x:si>
  <x:si>
    <x:t xml:space="preserve">Validation Notes</x:t>
  </x:si>
  <x:si>
    <x:t xml:space="preserve">AR1</x:t>
  </x:si>
  <x:si>
    <x:t xml:space="preserve">All</x:t>
  </x:si>
  <x:si>
    <x:t xml:space="preserve">Formation</x:t>
  </x:si>
  <x:si>
    <x:t xml:space="preserve">Heavy or Assault units</x:t>
  </x:si>
  <x:si>
    <x:t xml:space="preserve">Count &gt;=</x:t>
  </x:si>
  <x:si>
    <x:t xml:space="preserve">AR2</x:t>
  </x:si>
  <x:si>
    <x:t xml:space="preserve">Light units</x:t>
  </x:si>
  <x:si>
    <x:t xml:space="preserve">Count =</x:t>
  </x:si>
  <x:si>
    <x:t xml:space="preserve">No Light units.</x:t>
  </x:si>
  <x:si>
    <x:t xml:space="preserve">AR3</x:t>
  </x:si>
  <x:si>
    <x:t xml:space="preserve">Each unit</x:t>
  </x:si>
  <x:si>
    <x:t xml:space="preserve">Armor points</x:t>
  </x:si>
  <x:si>
    <x:t xml:space="preserve">Each &gt;=</x:t>
  </x:si>
  <x:si>
    <x:t xml:space="preserve">Every unit.</x:t>
  </x:si>
  <x:si>
    <x:t xml:space="preserve">AR4</x:t>
  </x:si>
  <x:si>
    <x:t xml:space="preserve">Units dealing at least 25 damage at range 7</x:t>
  </x:si>
  <x:si>
    <x:t xml:space="preserve">75%</x:t>
  </x:si>
  <x:si>
    <x:t xml:space="preserve">AR5A</x:t>
  </x:si>
  <x:si>
    <x:t xml:space="preserve">Role option A</x:t>
  </x:si>
  <x:si>
    <x:t xml:space="preserve">Juggernaut units</x:t>
  </x:si>
  <x:si>
    <x:t xml:space="preserve">Satisfy option A or option B.</x:t>
  </x:si>
  <x:si>
    <x:t xml:space="preserve">AR5B</x:t>
  </x:si>
  <x:si>
    <x:t xml:space="preserve">Role option B</x:t>
  </x:si>
  <x:si>
    <x:t xml:space="preserve">Sniper units</x:t>
  </x:si>
  <x:si>
    <x:t xml:space="preserve">AF1</x:t>
  </x:si>
  <x:si>
    <x:t xml:space="preserve">Added to base</x:t>
  </x:si>
  <x:si>
    <x:t xml:space="preserve">Mobility</x:t>
  </x:si>
  <x:si>
    <x:t xml:space="preserve">Walk &gt;= 5 OR jump jets</x:t>
  </x:si>
  <x:si>
    <x:t xml:space="preserve">Per unit</x:t>
  </x:si>
  <x:si>
    <x:t xml:space="preserve">Every unit must satisfy one branch.</x:t>
  </x:si>
  <x:si>
    <x:t xml:space="preserve">AH1</x:t>
  </x:si>
  <x:si>
    <x:t xml:space="preserve">Ambusher or Juggernaut units</x:t>
  </x:si>
  <x:si>
    <x:t xml:space="preserve">50%</x:t>
  </x:si>
  <x:si>
    <x:t xml:space="preserve">BR1</x:t>
  </x:si>
  <x:si>
    <x:t xml:space="preserve">BR2</x:t>
  </x:si>
  <x:si>
    <x:t xml:space="preserve">Brawler, Sniper, or Skirmisher units</x:t>
  </x:si>
  <x:si>
    <x:t xml:space="preserve">Any combination of the listed Roles.</x:t>
  </x:si>
  <x:si>
    <x:t xml:space="preserve">BL1</x:t>
  </x:si>
  <x:si>
    <x:t xml:space="preserve">BL2</x:t>
  </x:si>
  <x:si>
    <x:t xml:space="preserve">Assault units</x:t>
  </x:si>
  <x:si>
    <x:t xml:space="preserve">BL3</x:t>
  </x:si>
  <x:si>
    <x:t xml:space="preserve">Scout units</x:t>
  </x:si>
  <x:si>
    <x:t xml:space="preserve">BM1</x:t>
  </x:si>
  <x:si>
    <x:t xml:space="preserve">Medium units</x:t>
  </x:si>
  <x:si>
    <x:t xml:space="preserve">BM2</x:t>
  </x:si>
  <x:si>
    <x:t xml:space="preserve">BH1</x:t>
  </x:si>
  <x:si>
    <x:t xml:space="preserve">BH2</x:t>
  </x:si>
  <x:si>
    <x:t xml:space="preserve">BB1</x:t>
  </x:si>
  <x:si>
    <x:t xml:space="preserve">Inherited</x:t>
  </x:si>
  <x:si>
    <x:t xml:space="preserve">Basic Battle requirements</x:t>
  </x:si>
  <x:si>
    <x:t xml:space="preserve">Use parent</x:t>
  </x:si>
  <x:si>
    <x:t xml:space="preserve">Uses the normal Battle requirements; the Ideal Role shortcut is not inherited.</x:t>
  </x:si>
  <x:si>
    <x:t xml:space="preserve">CR1</x:t>
  </x:si>
  <x:si>
    <x:t xml:space="preserve">Leadership</x:t>
  </x:si>
  <x:si>
    <x:t xml:space="preserve">Campaign Force</x:t>
  </x:si>
  <x:si>
    <x:t xml:space="preserve">Force commander designation</x:t>
  </x:si>
  <x:si>
    <x:t xml:space="preserve">Exactly one Force commander across the Campaign Force.</x:t>
  </x:si>
  <x:si>
    <x:t xml:space="preserve">CR2</x:t>
  </x:si>
  <x:si>
    <x:t xml:space="preserve">First Command Formation</x:t>
  </x:si>
  <x:si>
    <x:t xml:space="preserve">Force commander present</x:t>
  </x:si>
  <x:si>
    <x:t xml:space="preserve">CR3</x:t>
  </x:si>
  <x:si>
    <x:t xml:space="preserve">Additional Command Formation</x:t>
  </x:si>
  <x:si>
    <x:t xml:space="preserve">Key lieutenant present</x:t>
  </x:si>
  <x:si>
    <x:t xml:space="preserve">Applies to each additional Command Formation.</x:t>
  </x:si>
  <x:si>
    <x:t xml:space="preserve">CR4</x:t>
  </x:si>
  <x:si>
    <x:t xml:space="preserve">Roles</x:t>
  </x:si>
  <x:si>
    <x:t xml:space="preserve">Sniper, Missile Boat, Skirmisher, or Juggernaut units</x:t>
  </x:si>
  <x:si>
    <x:t xml:space="preserve">CR5</x:t>
  </x:si>
  <x:si>
    <x:t xml:space="preserve">Additional Brawler, Striker, or Scout unit</x:t>
  </x:si>
  <x:si>
    <x:t xml:space="preserve">Must be a separate unit from those counted for CR4; the commander may fill either group.</x:t>
  </x:si>
  <x:si>
    <x:t xml:space="preserve">FR1</x:t>
  </x:si>
  <x:si>
    <x:t xml:space="preserve">Missile Boat or Sniper units</x:t>
  </x:si>
  <x:si>
    <x:t xml:space="preserve">FAA1</x:t>
  </x:si>
  <x:si>
    <x:t xml:space="preserve">Units with LB-X AC, standard AC, artillery, or Anti-Aircraft Targeting Quirk</x:t>
  </x:si>
  <x:si>
    <x:t xml:space="preserve">Also meet the basic Fire requirement.</x:t>
  </x:si>
  <x:si>
    <x:t xml:space="preserve">FAR1</x:t>
  </x:si>
  <x:si>
    <x:t xml:space="preserve">Units with an artillery weapon</x:t>
  </x:si>
  <x:si>
    <x:t xml:space="preserve">FD1</x:t>
  </x:si>
  <x:si>
    <x:t xml:space="preserve">FD2</x:t>
  </x:si>
  <x:si>
    <x:t xml:space="preserve">Damage at range 18 or farther</x:t>
  </x:si>
  <x:si>
    <x:t xml:space="preserve">FS1</x:t>
  </x:si>
  <x:si>
    <x:t xml:space="preserve">Units with indirect-fire weapon</x:t>
  </x:si>
  <x:si>
    <x:t xml:space="preserve">FL1</x:t>
  </x:si>
  <x:si>
    <x:t xml:space="preserve">FL2</x:t>
  </x:si>
  <x:si>
    <x:t xml:space="preserve">SR1</x:t>
  </x:si>
  <x:si>
    <x:t xml:space="preserve">Walk &gt;= 5 OR Jump &gt;= 4</x:t>
  </x:si>
  <x:si>
    <x:t xml:space="preserve">SR2</x:t>
  </x:si>
  <x:si>
    <x:t xml:space="preserve">SR3</x:t>
  </x:si>
  <x:si>
    <x:t xml:space="preserve">Striker or Skirmisher units</x:t>
  </x:si>
  <x:si>
    <x:t xml:space="preserve">SH1</x:t>
  </x:si>
  <x:si>
    <x:t xml:space="preserve">Walk/Cruise speed</x:t>
  </x:si>
  <x:si>
    <x:t xml:space="preserve">Jumping cannot substitute.</x:t>
  </x:si>
  <x:si>
    <x:t xml:space="preserve">SH2</x:t>
  </x:si>
  <x:si>
    <x:t xml:space="preserve">SH3</x:t>
  </x:si>
  <x:si>
    <x:t xml:space="preserve">SH4</x:t>
  </x:si>
  <x:si>
    <x:t xml:space="preserve">Units dealing at least 5 damage at range 18 or farther</x:t>
  </x:si>
  <x:si>
    <x:t xml:space="preserve">SH5</x:t>
  </x:si>
  <x:si>
    <x:t xml:space="preserve">HO1</x:t>
  </x:si>
  <x:si>
    <x:t xml:space="preserve">Formation unit count</x:t>
  </x:si>
  <x:si>
    <x:t xml:space="preserve">Between</x:t>
  </x:si>
  <x:si>
    <x:t xml:space="preserve">5 and 10</x:t>
  </x:si>
  <x:si>
    <x:t xml:space="preserve">Maximum 10 units.</x:t>
  </x:si>
  <x:si>
    <x:t xml:space="preserve">HO2</x:t>
  </x:si>
  <x:si>
    <x:t xml:space="preserve">Weight class</x:t>
  </x:si>
  <x:si>
    <x:t xml:space="preserve">Each =</x:t>
  </x:si>
  <x:si>
    <x:t xml:space="preserve">Every unit must be Light.</x:t>
  </x:si>
  <x:si>
    <x:t xml:space="preserve">HO3</x:t>
  </x:si>
  <x:si>
    <x:t xml:space="preserve">Damage at range 9 or farther</x:t>
  </x:si>
  <x:si>
    <x:t xml:space="preserve">Each &lt;=</x:t>
  </x:si>
  <x:si>
    <x:t xml:space="preserve">No unit may exceed 10.</x:t>
  </x:si>
  <x:si>
    <x:t xml:space="preserve">SL1</x:t>
  </x:si>
  <x:si>
    <x:t xml:space="preserve">SL2</x:t>
  </x:si>
  <x:si>
    <x:t xml:space="preserve">SL3</x:t>
  </x:si>
  <x:si>
    <x:t xml:space="preserve">SL4</x:t>
  </x:si>
  <x:si>
    <x:t xml:space="preserve">RA1</x:t>
  </x:si>
  <x:si>
    <x:t xml:space="preserve">SU1</x:t>
  </x:si>
  <x:si>
    <x:t xml:space="preserve">Composition requirements</x:t>
  </x:si>
  <x:si>
    <x:t xml:space="preserve">Any otherwise valid Formation may be designated Support.</x:t>
  </x:si>
  <x:si>
    <x:t xml:space="preserve">RO1</x:t>
  </x:si>
  <x:si>
    <x:t xml:space="preserve">Exact matching model and configuration</x:t>
  </x:si>
  <x:si>
    <x:t xml:space="preserve">Duplicate count &gt;=</x:t>
  </x:si>
  <x:si>
    <x:t xml:space="preserve">Clan Wolf only; same chassis with different configurations does not qualify.</x:t>
  </x:si>
  <x:si>
    <x:t xml:space="preserve">PH1</x:t>
  </x:si>
  <x:si>
    <x:t xml:space="preserve">BattleMech or combat vehicle units</x:t>
  </x:si>
  <x:si>
    <x:t xml:space="preserve">Deferred.</x:t>
  </x:si>
  <x:si>
    <x:t xml:space="preserve">PH2</x:t>
  </x:si>
  <x:si>
    <x:t xml:space="preserve">Distinct unit types</x:t>
  </x:si>
  <x:si>
    <x:t xml:space="preserve">Types are BattleMech, combat vehicle, and battle armor; Steel Viper may use conventional infantry in place of battle armor.</x:t>
  </x:si>
  <x:si>
    <x:t xml:space="preserve">SC1</x:t>
  </x:si>
  <x:si>
    <x:t xml:space="preserve">Composition</x:t>
  </x:si>
  <x:si>
    <x:t xml:space="preserve">BattleMech or Elemental Points</x:t>
  </x:si>
  <x:si>
    <x:t xml:space="preserve">Four Points of one listed ground-unit category plus one aerospace fighter Point.</x:t>
  </x:si>
  <x:si>
    <x:t xml:space="preserve">SC2</x:t>
  </x:si>
  <x:si>
    <x:t xml:space="preserve">Aerospace fighter Points</x:t>
  </x:si>
  <x:si>
    <x:t xml:space="preserve">Deferred until aerospace support is implemented.</x:t>
  </x:si>
  <x:si>
    <x:t xml:space="preserve">SC3</x:t>
  </x:si>
  <x:si>
    <x:t xml:space="preserve">If BattleMechs</x:t>
  </x:si>
  <x:si>
    <x:t xml:space="preserve">Heavy or Assault ’Mechs</x:t>
  </x:si>
  <x:si>
    <x:t xml:space="preserve">SC4</x:t>
  </x:si>
  <x:si>
    <x:t xml:space="preserve">Light ’Mechs</x:t>
  </x:si>
  <x:si>
    <x:t xml:space="preserve">SC5</x:t>
  </x:si>
  <x:si>
    <x:t xml:space="preserve">Gunnery Skill (TW) or Skill (AS)</x:t>
  </x:si>
  <x:si>
    <x:t xml:space="preserve">Every unit, including aerospace.</x:t>
  </x:si>
  <x:si>
    <x:t xml:space="preserve">SC6</x:t>
  </x:si>
  <x:si>
    <x:t xml:space="preserve">Commander unit type</x:t>
  </x:si>
  <x:si>
    <x:t xml:space="preserve">Must not be</x:t>
  </x:si>
  <x:si>
    <x:t xml:space="preserve">Uses normal Command leadership rules.</x:t>
  </x:si>
  <x:si>
    <x:t xml:space="preserve">RE1</x:t>
  </x:si>
  <x:si>
    <x:t xml:space="preserve">Known restriction</x:t>
  </x:si>
  <x:si>
    <x:t xml:space="preserve">Other requirements have not been supplied.</x:t>
  </x:si>
  <x:si>
    <x:t xml:space="preserve">PU1</x:t>
  </x:si>
  <x:si>
    <x:t xml:space="preserve">FORMATION BONUS ABILITIES</x:t>
  </x:si>
  <x:si>
    <x:t xml:space="preserve">Bonuses are free. Recipient units must still meet an ability’s own requisites. Unless a Formation says otherwise, its bonus remains active while at least three units are active.</x:t>
  </x:si>
  <x:si>
    <x:t xml:space="preserve">Bonus ID</x:t>
  </x:si>
  <x:si>
    <x:t xml:space="preserve">Ability</x:t>
  </x:si>
  <x:si>
    <x:t xml:space="preserve">Category</x:t>
  </x:si>
  <x:si>
    <x:t xml:space="preserve">Selection Timing</x:t>
  </x:si>
  <x:si>
    <x:t xml:space="preserve">Recipient Rule</x:t>
  </x:si>
  <x:si>
    <x:t xml:space="preserve">Clan Recipients</x:t>
  </x:si>
  <x:si>
    <x:t xml:space="preserve">ComStar Recipients</x:t>
  </x:si>
  <x:si>
    <x:t xml:space="preserve">Use / Duration Limit</x:t>
  </x:si>
  <x:si>
    <x:t xml:space="preserve">Additional Rules</x:t>
  </x:si>
  <x:si>
    <x:t xml:space="preserve">AB1</x:t>
  </x:si>
  <x:si>
    <x:t xml:space="preserve">Demoralizer OR Multi-Tasker</x:t>
  </x:si>
  <x:si>
    <x:t xml:space="preserve">SPA</x:t>
  </x:si>
  <x:si>
    <x:t xml:space="preserve">Start of scenario</x:t>
  </x:si>
  <x:si>
    <x:t xml:space="preserve">Choose one ability; designate up to two units each turn</x:t>
  </x:si>
  <x:si>
    <x:t xml:space="preserve">Chosen SPA fixed for scenario</x:t>
  </x:si>
  <x:si>
    <x:t xml:space="preserve">Recipient units may change each turn.</x:t>
  </x:si>
  <x:si>
    <x:t xml:space="preserve">AB2</x:t>
  </x:si>
  <x:si>
    <x:t xml:space="preserve">Stand-Aside</x:t>
  </x:si>
  <x:si>
    <x:t xml:space="preserve">Each turn</x:t>
  </x:si>
  <x:si>
    <x:t xml:space="preserve">Up to two units</x:t>
  </x:si>
  <x:si>
    <x:t xml:space="preserve">For that turn</x:t>
  </x:si>
  <x:si>
    <x:t xml:space="preserve">In addition to the inherited basic Assault bonus; recipients may differ.</x:t>
  </x:si>
  <x:si>
    <x:t xml:space="preserve">AB3</x:t>
  </x:si>
  <x:si>
    <x:t xml:space="preserve">Combat Intuition</x:t>
  </x:si>
  <x:si>
    <x:t xml:space="preserve">50% of Formation</x:t>
  </x:si>
  <x:si>
    <x:t xml:space="preserve">Lucky-equivalent shared pool</x:t>
  </x:si>
  <x:si>
    <x:t xml:space="preserve">Formation ability</x:t>
  </x:si>
  <x:si>
    <x:t xml:space="preserve">As needed</x:t>
  </x:si>
  <x:si>
    <x:t xml:space="preserve">Any Formation unit</x:t>
  </x:si>
  <x:si>
    <x:t xml:space="preserve">Six uses per scenario</x:t>
  </x:si>
  <x:si>
    <x:t xml:space="preserve">One reroll per failed attack or Piloting/Driving roll. May stack with personal Lucky, but a unit is capped at four total rerolls per scenario.</x:t>
  </x:si>
  <x:si>
    <x:t xml:space="preserve">BB2</x:t>
  </x:si>
  <x:si>
    <x:t xml:space="preserve">Basic Battle bonus</x:t>
  </x:si>
  <x:si>
    <x:t xml:space="preserve">Use BATTLE bonus</x:t>
  </x:si>
  <x:si>
    <x:t xml:space="preserve">As BATTLE</x:t>
  </x:si>
  <x:si>
    <x:t xml:space="preserve">BB3</x:t>
  </x:si>
  <x:si>
    <x:t xml:space="preserve">BB4</x:t>
  </x:si>
  <x:si>
    <x:t xml:space="preserve">BB5</x:t>
  </x:si>
  <x:si>
    <x:t xml:space="preserve">Swordsman OR Zweihander</x:t>
  </x:si>
  <x:si>
    <x:t xml:space="preserve">Before play</x:t>
  </x:si>
  <x:si>
    <x:t xml:space="preserve">Choose one SPA and assign it to two units</x:t>
  </x:si>
  <x:si>
    <x:t xml:space="preserve">Scenario</x:t>
  </x:si>
  <x:si>
    <x:t xml:space="preserve">Both units must receive the same SPA; replaces Lucky.</x:t>
  </x:si>
  <x:si>
    <x:t xml:space="preserve">CB1</x:t>
  </x:si>
  <x:si>
    <x:t xml:space="preserve">Choice SPA</x:t>
  </x:si>
  <x:si>
    <x:t xml:space="preserve">Two non-commanders; each may choose Antagonizer, Blood Stalker, Combat Intuition, Eagle Eyes, Marksman, or Multi-Tasker</x:t>
  </x:si>
  <x:si>
    <x:t xml:space="preserve">The two units may receive different SPAs.</x:t>
  </x:si>
  <x:si>
    <x:t xml:space="preserve">CB2</x:t>
  </x:si>
  <x:si>
    <x:t xml:space="preserve">Tactical Genius</x:t>
  </x:si>
  <x:si>
    <x:t xml:space="preserve">Formation commander</x:t>
  </x:si>
  <x:si>
    <x:t xml:space="preserve">If standard SPA rules are active and commander already has Tactical Genius, use CB3 instead.</x:t>
  </x:si>
  <x:si>
    <x:t xml:space="preserve">CB3</x:t>
  </x:si>
  <x:si>
    <x:t xml:space="preserve">Initiative modifier</x:t>
  </x:si>
  <x:si>
    <x:t xml:space="preserve">Modifier</x:t>
  </x:si>
  <x:si>
    <x:t xml:space="preserve">Entire force</x:t>
  </x:si>
  <x:si>
    <x:t xml:space="preserve">+1 for scenario</x:t>
  </x:si>
  <x:si>
    <x:t xml:space="preserve">Applies to Initiative rolls and Tactical Genius rerolls; alternative to duplicate Tactical Genius.</x:t>
  </x:si>
  <x:si>
    <x:t xml:space="preserve">FB1</x:t>
  </x:si>
  <x:si>
    <x:t xml:space="preserve">Sniper</x:t>
  </x:si>
  <x:si>
    <x:t xml:space="preserve">FB2</x:t>
  </x:si>
  <x:si>
    <x:t xml:space="preserve">Anti-Aircraft Specialist</x:t>
  </x:si>
  <x:si>
    <x:t xml:space="preserve">Special Command Ability</x:t>
  </x:si>
  <x:si>
    <x:t xml:space="preserve">Replaces basic Fire bonus.</x:t>
  </x:si>
  <x:si>
    <x:t xml:space="preserve">FB3</x:t>
  </x:si>
  <x:si>
    <x:t xml:space="preserve">Oblique Artilleryman</x:t>
  </x:si>
  <x:si>
    <x:t xml:space="preserve">Up to two eligible artillery units</x:t>
  </x:si>
  <x:si>
    <x:t xml:space="preserve">Only affects artillery attacks.</x:t>
  </x:si>
  <x:si>
    <x:t xml:space="preserve">FB4</x:t>
  </x:si>
  <x:si>
    <x:t xml:space="preserve">Weapon Specialist</x:t>
  </x:si>
  <x:si>
    <x:t xml:space="preserve">FB5</x:t>
  </x:si>
  <x:si>
    <x:t xml:space="preserve">Oblique Attacker</x:t>
  </x:si>
  <x:si>
    <x:t xml:space="preserve">Up to two eligible indirect-fire units</x:t>
  </x:si>
  <x:si>
    <x:t xml:space="preserve">Only affects indirect-fire attacks.</x:t>
  </x:si>
  <x:si>
    <x:t xml:space="preserve">FB6</x:t>
  </x:si>
  <x:si>
    <x:t xml:space="preserve">Coordinated Fire Support</x:t>
  </x:si>
  <x:si>
    <x:t xml:space="preserve">During attacks</x:t>
  </x:si>
  <x:si>
    <x:t xml:space="preserve">Other Formation units attacking a target already hit by a Formation unit</x:t>
  </x:si>
  <x:si>
    <x:t xml:space="preserve">Cumulative to −3</x:t>
  </x:si>
  <x:si>
    <x:t xml:space="preserve">Each qualifying attacking unit adds a −1 attack modifier against that target.</x:t>
  </x:si>
  <x:si>
    <x:t xml:space="preserve">SB1</x:t>
  </x:si>
  <x:si>
    <x:t xml:space="preserve">Speed Demon</x:t>
  </x:si>
  <x:si>
    <x:t xml:space="preserve">75% of Formation</x:t>
  </x:si>
  <x:si>
    <x:t xml:space="preserve">While Formation bonus active</x:t>
  </x:si>
  <x:si>
    <x:t xml:space="preserve">SB2</x:t>
  </x:si>
  <x:si>
    <x:t xml:space="preserve">Basic Striker bonus</x:t>
  </x:si>
  <x:si>
    <x:t xml:space="preserve">Use STRIKER bonus</x:t>
  </x:si>
  <x:si>
    <x:t xml:space="preserve">As STRIKER</x:t>
  </x:si>
  <x:si>
    <x:t xml:space="preserve">SB3</x:t>
  </x:si>
  <x:si>
    <x:t xml:space="preserve">Swarm</x:t>
  </x:si>
  <x:si>
    <x:t xml:space="preserve">When targeted</x:t>
  </x:si>
  <x:si>
    <x:t xml:space="preserve">May redirect to another legal Formation member at same or shorter range</x:t>
  </x:si>
  <x:si>
    <x:t xml:space="preserve">During scenario</x:t>
  </x:si>
  <x:si>
    <x:t xml:space="preserve">Original target must have used Running, Jumping, or Flank movement that turn.</x:t>
  </x:si>
  <x:si>
    <x:t xml:space="preserve">SB4</x:t>
  </x:si>
  <x:si>
    <x:t xml:space="preserve">SB5</x:t>
  </x:si>
  <x:si>
    <x:t xml:space="preserve">Terrain Master</x:t>
  </x:si>
  <x:si>
    <x:t xml:space="preserve">All recipients must receive the same Terrain Master variation.</x:t>
  </x:si>
  <x:si>
    <x:t xml:space="preserve">SUB1</x:t>
  </x:si>
  <x:si>
    <x:t xml:space="preserve">Copied supported-Formation ability</x:t>
  </x:si>
  <x:si>
    <x:t xml:space="preserve">Before play / as supported ability triggers</x:t>
  </x:si>
  <x:si>
    <x:t xml:space="preserve">One Support unit for every two supported units using the ability</x:t>
  </x:si>
  <x:si>
    <x:t xml:space="preserve">FLOOR(n/2)</x:t>
  </x:si>
  <x:si>
    <x:t xml:space="preserve">While at least three Support units remain active</x:t>
  </x:si>
  <x:si>
    <x:t xml:space="preserve">Support retains the copied bonus if the supported Formation later falls below its own retention threshold.</x:t>
  </x:si>
  <x:si>
    <x:t xml:space="preserve">SUB2</x:t>
  </x:si>
  <x:si>
    <x:t xml:space="preserve">Copied Command non-commander SPAs</x:t>
  </x:si>
  <x:si>
    <x:t xml:space="preserve">Assign one of the Command Formation’s two selected SPAs to each of two eligible Support units</x:t>
  </x:si>
  <x:si>
    <x:t xml:space="preserve">Scenario while Support has three active units</x:t>
  </x:si>
  <x:si>
    <x:t xml:space="preserve">Does not copy Tactical Genius or the alternative +1 Initiative modifier.</x:t>
  </x:si>
  <x:si>
    <x:t xml:space="preserve">PB1</x:t>
  </x:si>
  <x:si>
    <x:t xml:space="preserve">Float Like a Butterfly-equivalent shared pool</x:t>
  </x:si>
  <x:si>
    <x:t xml:space="preserve">After a successful attack or critical-hit roll</x:t>
  </x:si>
  <x:si>
    <x:t xml:space="preserve">Maximum six uses per track</x:t>
  </x:si>
  <x:si>
    <x:t xml:space="preserve">Only one reroll per attack or critical-hit roll; deferred with Phalanx.</x:t>
  </x:si>
  <x:si>
    <x:t xml:space="preserve">RB1</x:t>
  </x:si>
  <x:si>
    <x:t xml:space="preserve">Clan Wolf only.</x:t>
  </x:si>
  <x:si>
    <x:t xml:space="preserve">SCB1</x:t>
  </x:si>
  <x:si>
    <x:t xml:space="preserve">Command Formation bonuses</x:t>
  </x:si>
  <x:si>
    <x:t xml:space="preserve">Use COMMAND bonuses</x:t>
  </x:si>
  <x:si>
    <x:t xml:space="preserve">As COMMAND</x:t>
  </x:si>
  <x:si>
    <x:t xml:space="preserve">Does not change the aerospace restriction; deferred.</x:t>
  </x:si>
  <x:si>
    <x:t xml:space="preserve">CLAN FORMATION NAMES AND RAT ROUTING</x:t>
  </x:si>
  <x:si>
    <x:t xml:space="preserve">Clan-specific terms are display names. The Underlying Formation determines requirements and bonuses; the RAT Table column controls unit assignment.</x:t>
  </x:si>
  <x:si>
    <x:t xml:space="preserve">Clan Term</x:t>
  </x:si>
  <x:si>
    <x:t xml:space="preserve">Underlying Formation</x:t>
  </x:si>
  <x:si>
    <x:t xml:space="preserve">Restriction</x:t>
  </x:si>
  <x:si>
    <x:t xml:space="preserve">Notes</x:t>
  </x:si>
  <x:si>
    <x:t xml:space="preserve">Diamond Shark</x:t>
  </x:si>
  <x:si>
    <x:t xml:space="preserve">Unchanged name.</x:t>
  </x:si>
  <x:si>
    <x:t xml:space="preserve">Command Star</x:t>
  </x:si>
  <x:si>
    <x:t xml:space="preserve">Support Star</x:t>
  </x:si>
  <x:si>
    <x:t xml:space="preserve">Cruiser</x:t>
  </x:si>
  <x:si>
    <x:t xml:space="preserve">Heavy Striker</x:t>
  </x:si>
  <x:si>
    <x:t xml:space="preserve">Phalanx Star</x:t>
  </x:si>
  <x:si>
    <x:t xml:space="preserve">Requires mixed unit types</x:t>
  </x:si>
  <x:si>
    <x:t xml:space="preserve">Ghost Bear</x:t>
  </x:si>
  <x:si>
    <x:t xml:space="preserve">Nova</x:t>
  </x:si>
  <x:si>
    <x:t xml:space="preserve">Not supplied</x:t>
  </x:si>
  <x:si>
    <x:t xml:space="preserve">Requires Elementals</x:t>
  </x:si>
  <x:si>
    <x:t xml:space="preserve">Claw</x:t>
  </x:si>
  <x:si>
    <x:t xml:space="preserve">Five Dasher (Fire Moth) OmniMechs plus an Elemental Star</x:t>
  </x:si>
  <x:si>
    <x:t xml:space="preserve">Talon</x:t>
  </x:si>
  <x:si>
    <x:t xml:space="preserve">Beak or Eyrie</x:t>
  </x:si>
  <x:si>
    <x:t xml:space="preserve">Com</x:t>
  </x:si>
  <x:si>
    <x:t xml:space="preserve">Mix</x:t>
  </x:si>
  <x:si>
    <x:t xml:space="preserve">Eye</x:t>
  </x:si>
  <x:si>
    <x:t xml:space="preserve">Probe</x:t>
  </x:si>
  <x:si>
    <x:t xml:space="preserve">No Assault ’Mechs</x:t>
  </x:si>
  <x:si>
    <x:t xml:space="preserve">Requirements and bonus incomplete.</x:t>
  </x:si>
  <x:si>
    <x:t xml:space="preserve">Sweep</x:t>
  </x:si>
  <x:si>
    <x:t xml:space="preserve">Strider</x:t>
  </x:si>
  <x:si>
    <x:t xml:space="preserve">Elemental Star</x:t>
  </x:si>
  <x:si>
    <x:t xml:space="preserve">Wing</x:t>
  </x:si>
  <x:si>
    <x:t xml:space="preserve">Aerospace Fighter Star</x:t>
  </x:si>
  <x:si>
    <x:t xml:space="preserve">Requires aerospace</x:t>
  </x:si>
  <x:si>
    <x:t xml:space="preserve">Nova Cat</x:t>
  </x:si>
  <x:si>
    <x:t xml:space="preserve">Assault, Battle, Command, Fire, Support, or Striker Star</x:t>
  </x:si>
  <x:si>
    <x:t xml:space="preserve">Corresponding standard Type</x:t>
  </x:si>
  <x:si>
    <x:t xml:space="preserve">Corresponding standard table</x:t>
  </x:si>
  <x:si>
    <x:t xml:space="preserve">Unchanged names.</x:t>
  </x:si>
  <x:si>
    <x:t xml:space="preserve">Smoke Jaguar</x:t>
  </x:si>
  <x:si>
    <x:t xml:space="preserve">Steel Viper</x:t>
  </x:si>
  <x:si>
    <x:t xml:space="preserve">Krait</x:t>
  </x:si>
  <x:si>
    <x:t xml:space="preserve">Boa</x:t>
  </x:si>
  <x:si>
    <x:t xml:space="preserve">Head</x:t>
  </x:si>
  <x:si>
    <x:t xml:space="preserve">Mamba</x:t>
  </x:si>
  <x:si>
    <x:t xml:space="preserve">Molt</x:t>
  </x:si>
  <x:si>
    <x:t xml:space="preserve">May use conventional infantry in place of battle armor.</x:t>
  </x:si>
  <x:si>
    <x:t xml:space="preserve">Cobra</x:t>
  </x:si>
  <x:si>
    <x:t xml:space="preserve">Viper</x:t>
  </x:si>
  <x:si>
    <x:t xml:space="preserve">Conventional infantry Star</x:t>
  </x:si>
  <x:si>
    <x:t xml:space="preserve">Requires infantry</x:t>
  </x:si>
  <x:si>
    <x:t xml:space="preserve">Rattler</x:t>
  </x:si>
  <x:si>
    <x:t xml:space="preserve">Mixed</x:t>
  </x:si>
  <x:si>
    <x:t xml:space="preserve">Two exact matching models/configurations</x:t>
  </x:si>
  <x:si>
    <x:t xml:space="preserve">Strategic Command</x:t>
  </x:si>
  <x:si>
    <x:t xml:space="preserve">Requires one aerospace fighter Point</x:t>
  </x:si>
  <x:si>
    <x:t xml:space="preserve">Often used for Clan Wolf Command Stars, but not mandatory.</x:t>
  </x:si>
  <x:si>
    <x:t xml:space="preserve">Id</x:t>
  </x:si>
  <x:si>
    <x:t xml:space="preserve">RAT Name</x:t>
  </x:si>
  <x:si>
    <x:t xml:space="preserve">Database Name</x:t>
  </x:si>
  <x:si>
    <x:t xml:space="preserve">Class</x:t>
  </x:si>
  <x:si>
    <x:t xml:space="preserve">Variant</x:t>
  </x:si>
  <x:si>
    <x:t xml:space="preserve">Tonnage</x:t>
  </x:si>
  <x:si>
    <x:t xml:space="preserve">BV</x:t>
  </x:si>
  <x:si>
    <x:t xml:space="preserve">PV</x:t>
  </x:si>
  <x:si>
    <x:t xml:space="preserve">Role</x:t>
  </x:si>
  <x:si>
    <x:t xml:space="preserve">BFMove</x:t>
  </x:si>
  <x:si>
    <x:t xml:space="preserve">BFArmor</x:t>
  </x:si>
  <x:si>
    <x:t xml:space="preserve">BF Damage S</x:t>
  </x:si>
  <x:si>
    <x:t xml:space="preserve">BF Damage M</x:t>
  </x:si>
  <x:si>
    <x:t xml:space="preserve">BF Damage L</x:t>
  </x:si>
  <x:si>
    <x:t xml:space="preserve">BF Damage E</x:t>
  </x:si>
  <x:si>
    <x:t xml:space="preserve">BFAbilities</x:t>
  </x:si>
  <x:si>
    <x:t xml:space="preserve">Date Introduced</x:t>
  </x:si>
  <x:si>
    <x:t xml:space="preserve">Era Review</x:t>
  </x:si>
  <x:si>
    <x:t xml:space="preserve">Technology</x:t>
  </x:si>
  <x:si>
    <x:t xml:space="preserve">Type</x:t>
  </x:si>
  <x:si>
    <x:t xml:space="preserve">Archer ARC-2R</x:t>
  </x:si>
  <x:si>
    <x:t xml:space="preserve">Archer</x:t>
  </x:si>
  <x:si>
    <x:t xml:space="preserve">ARC-2R</x:t>
  </x:si>
  <x:si>
    <x:t xml:space="preserve">8"</x:t>
  </x:si>
  <x:si>
    <x:t xml:space="preserve">IF2,LRM1/2/2,REAR1/1/-</x:t>
  </x:si>
  <x:si>
    <x:t xml:space="preserve">Inner Sphere</x:t>
  </x:si>
  <x:si>
    <x:t xml:space="preserve">BattleMech</x:t>
  </x:si>
  <x:si>
    <x:t xml:space="preserve">Archer ARC-2Rb</x:t>
  </x:si>
  <x:si>
    <x:t xml:space="preserve">ARC-2Rb</x:t>
  </x:si>
  <x:si>
    <x:t xml:space="preserve">CASE,IF3,REAR1/1/-</x:t>
  </x:si>
  <x:si>
    <x:t xml:space="preserve">Archer ARC-5CS</x:t>
  </x:si>
  <x:si>
    <x:t xml:space="preserve">ARC-5CS</x:t>
  </x:si>
  <x:si>
    <x:t xml:space="preserve">IF4</x:t>
  </x:si>
  <x:si>
    <x:t xml:space="preserve">C</x:t>
  </x:si>
  <x:si>
    <x:t xml:space="preserve">IF2,LRM2/2/2,REAR1/1/-</x:t>
  </x:si>
  <x:si>
    <x:t xml:space="preserve">Assassin ASN-21</x:t>
  </x:si>
  <x:si>
    <x:t xml:space="preserve">Assassin</x:t>
  </x:si>
  <x:si>
    <x:t xml:space="preserve">ASN-21</x:t>
  </x:si>
  <x:si>
    <x:t xml:space="preserve">Scout</x:t>
  </x:si>
  <x:si>
    <x:t xml:space="preserve">14"j</x:t>
  </x:si>
  <x:si>
    <x:t xml:space="preserve">IF0*</x:t>
  </x:si>
  <x:si>
    <x:t xml:space="preserve">Assassin ASN-23</x:t>
  </x:si>
  <x:si>
    <x:t xml:space="preserve">ASN-23</x:t>
  </x:si>
  <x:si>
    <x:t xml:space="preserve">Atlas AS7-D</x:t>
  </x:si>
  <x:si>
    <x:t xml:space="preserve">Atlas</x:t>
  </x:si>
  <x:si>
    <x:t xml:space="preserve">AS7-D</x:t>
  </x:si>
  <x:si>
    <x:t xml:space="preserve">6"</x:t>
  </x:si>
  <x:si>
    <x:t xml:space="preserve">AC2/2/-,IF1,LRM1/1/1,REAR1/1/-</x:t>
  </x:si>
  <x:si>
    <x:t xml:space="preserve">Atlas AS7-K</x:t>
  </x:si>
  <x:si>
    <x:t xml:space="preserve">AS7-K</x:t>
  </x:si>
  <x:si>
    <x:t xml:space="preserve">AMS,CASE,IF1,OVL,REAR1/1/-</x:t>
  </x:si>
  <x:si>
    <x:t xml:space="preserve">IF1,REAR1/1/-</x:t>
  </x:si>
  <x:si>
    <x:t xml:space="preserve">Atlas II AS7-D-H</x:t>
  </x:si>
  <x:si>
    <x:t xml:space="preserve">Atlas II</x:t>
  </x:si>
  <x:si>
    <x:t xml:space="preserve">AS7-D-H</x:t>
  </x:si>
  <x:si>
    <x:t xml:space="preserve">CASE,IF1</x:t>
  </x:si>
  <x:si>
    <x:t xml:space="preserve">Awesome AWS-8Q</x:t>
  </x:si>
  <x:si>
    <x:t xml:space="preserve">Awesome</x:t>
  </x:si>
  <x:si>
    <x:t xml:space="preserve">AWS-8Q</x:t>
  </x:si>
  <x:si>
    <x:t xml:space="preserve">ENE</x:t>
  </x:si>
  <x:si>
    <x:t xml:space="preserve">Baboon (Howler) (Standard)</x:t>
  </x:si>
  <x:si>
    <x:t xml:space="preserve">Baboon (Howler)</x:t>
  </x:si>
  <x:si>
    <x:t xml:space="preserve">(Standard)</x:t>
  </x:si>
  <x:si>
    <x:t xml:space="preserve">14"</x:t>
  </x:si>
  <x:si>
    <x:t xml:space="preserve">Banshee BNC-3E</x:t>
  </x:si>
  <x:si>
    <x:t xml:space="preserve">Banshee</x:t>
  </x:si>
  <x:si>
    <x:t xml:space="preserve">BNC-3E</x:t>
  </x:si>
  <x:si>
    <x:t xml:space="preserve">Battle Cobra</x:t>
  </x:si>
  <x:si>
    <x:t xml:space="preserve">B</x:t>
  </x:si>
  <x:si>
    <x:t xml:space="preserve">12"</x:t>
  </x:si>
  <x:si>
    <x:t xml:space="preserve">ENE,OMNI</x:t>
  </x:si>
  <x:si>
    <x:t xml:space="preserve">Prime</x:t>
  </x:si>
  <x:si>
    <x:t xml:space="preserve">BattleMaster BLR-1G</x:t>
  </x:si>
  <x:si>
    <x:t xml:space="preserve">BattleMaster</x:t>
  </x:si>
  <x:si>
    <x:t xml:space="preserve">BLR-1G</x:t>
  </x:si>
  <x:si>
    <x:t xml:space="preserve">REAR1/1/-</x:t>
  </x:si>
  <x:si>
    <x:t xml:space="preserve">BattleMaster BLR-1Gb</x:t>
  </x:si>
  <x:si>
    <x:t xml:space="preserve">BLR-1Gb</x:t>
  </x:si>
  <x:si>
    <x:t xml:space="preserve">BattleMaster BLR-2C</x:t>
  </x:si>
  <x:si>
    <x:t xml:space="preserve">BLR-2C</x:t>
  </x:si>
  <x:si>
    <x:t xml:space="preserve">AMS,MHQ1,PRB,RCN</x:t>
  </x:si>
  <x:si>
    <x:t xml:space="preserve">BattleMaster BLR-3M</x:t>
  </x:si>
  <x:si>
    <x:t xml:space="preserve">BLR-3M</x:t>
  </x:si>
  <x:si>
    <x:t xml:space="preserve">CASE,REAR1/1/-</x:t>
  </x:si>
  <x:si>
    <x:t xml:space="preserve">Behemoth (Stone Rhino) (Standard)</x:t>
  </x:si>
  <x:si>
    <x:t xml:space="preserve">Behemoth (Stone Rhino)</x:t>
  </x:si>
  <x:si>
    <x:t xml:space="preserve">6"j</x:t>
  </x:si>
  <x:si>
    <x:t xml:space="preserve">CASE,OVL</x:t>
  </x:si>
  <x:si>
    <x:t xml:space="preserve">Behemoth (Stone Rhino) 4</x:t>
  </x:si>
  <x:si>
    <x:t xml:space="preserve">Behemoth (Stone Rhino) 5</x:t>
  </x:si>
  <x:si>
    <x:t xml:space="preserve">CASE,FLK1/1/1</x:t>
  </x:si>
  <x:si>
    <x:t xml:space="preserve">Behemoth (Stone Rhino) 6</x:t>
  </x:si>
  <x:si>
    <x:t xml:space="preserve">8"/4"j</x:t>
  </x:si>
  <x:si>
    <x:t xml:space="preserve">ENE,JMPW1</x:t>
  </x:si>
  <x:si>
    <x:t xml:space="preserve">Black Hawk (Nova) A</x:t>
  </x:si>
  <x:si>
    <x:t xml:space="preserve">Black Hawk (Nova)</x:t>
  </x:si>
  <x:si>
    <x:t xml:space="preserve">A</x:t>
  </x:si>
  <x:si>
    <x:t xml:space="preserve">10"j</x:t>
  </x:si>
  <x:si>
    <x:t xml:space="preserve">AMS,CASE,OMNI</x:t>
  </x:si>
  <x:si>
    <x:t xml:space="preserve">Black Hawk (Nova) B</x:t>
  </x:si>
  <x:si>
    <x:t xml:space="preserve">CASE,OMNI</x:t>
  </x:si>
  <x:si>
    <x:t xml:space="preserve">Black Hawk (Nova) C</x:t>
  </x:si>
  <x:si>
    <x:t xml:space="preserve">Black Hawk (Nova) D</x:t>
  </x:si>
  <x:si>
    <x:t xml:space="preserve">D</x:t>
  </x:si>
  <x:si>
    <x:t xml:space="preserve">CASE,FLK0*/0*/0*,IF1,LRM1/1/1,OMNI</x:t>
  </x:si>
  <x:si>
    <x:t xml:space="preserve">Black Hawk (Nova) Prime</x:t>
  </x:si>
  <x:si>
    <x:t xml:space="preserve">Black Hawk (Nova) S</x:t>
  </x:si>
  <x:si>
    <x:t xml:space="preserve">S</x:t>
  </x:si>
  <x:si>
    <x:t xml:space="preserve">AMS,CASE,OMNI,PRB,RCN</x:t>
  </x:si>
  <x:si>
    <x:t xml:space="preserve">Black Knight BL-6-KNT</x:t>
  </x:si>
  <x:si>
    <x:t xml:space="preserve">Black Knight</x:t>
  </x:si>
  <x:si>
    <x:t xml:space="preserve">BL-6-KNT</x:t>
  </x:si>
  <x:si>
    <x:t xml:space="preserve">ENE,PRB,RCN</x:t>
  </x:si>
  <x:si>
    <x:t xml:space="preserve">Black Knight BL-6b-KNT</x:t>
  </x:si>
  <x:si>
    <x:t xml:space="preserve">BL-6b-KNT</x:t>
  </x:si>
  <x:si>
    <x:t xml:space="preserve">Black Knight BL-9-KNT</x:t>
  </x:si>
  <x:si>
    <x:t xml:space="preserve">BL-9-KNT</x:t>
  </x:si>
  <x:si>
    <x:t xml:space="preserve">ENE,MEL</x:t>
  </x:si>
  <x:si>
    <x:t xml:space="preserve">Black Lanner</x:t>
  </x:si>
  <x:si>
    <x:t xml:space="preserve">18"</x:t>
  </x:si>
  <x:si>
    <x:t xml:space="preserve">ECM,ENE,OMNI,PRB,RCN,TAG</x:t>
  </x:si>
  <x:si>
    <x:t xml:space="preserve">CASE,IF2,LRM2/2/2,OMNI</x:t>
  </x:si>
  <x:si>
    <x:t xml:space="preserve">CASE,OMNI,PRB,RCN,SRM2/2</x:t>
  </x:si>
  <x:si>
    <x:t xml:space="preserve">CASE,ECM,IF1,OMNI</x:t>
  </x:si>
  <x:si>
    <x:t xml:space="preserve">Blackjack BJ-1</x:t>
  </x:si>
  <x:si>
    <x:t xml:space="preserve">Blackjack</x:t>
  </x:si>
  <x:si>
    <x:t xml:space="preserve">BJ-1</x:t>
  </x:si>
  <x:si>
    <x:t xml:space="preserve">8"j</x:t>
  </x:si>
  <x:si>
    <x:t xml:space="preserve">Blackjack BJ-2</x:t>
  </x:si>
  <x:si>
    <x:t xml:space="preserve">BJ-2</x:t>
  </x:si>
  <x:si>
    <x:t xml:space="preserve">BMB-12D Bombardier; Glass Spider/BMB-12D Bombardier</x:t>
  </x:si>
  <x:si>
    <x:t xml:space="preserve">Bombardier BMB-12D</x:t>
  </x:si>
  <x:si>
    <x:t xml:space="preserve">Bombardier</x:t>
  </x:si>
  <x:si>
    <x:t xml:space="preserve">BMB-12D</x:t>
  </x:si>
  <x:si>
    <x:t xml:space="preserve">10"</x:t>
  </x:si>
  <x:si>
    <x:t xml:space="preserve">AMS,CASE,IF2,LRM1/2/2</x:t>
  </x:si>
  <x:si>
    <x:t xml:space="preserve">Bowman (Standard)</x:t>
  </x:si>
  <x:si>
    <x:t xml:space="preserve">ARTAC-1,CASE,ECM,IF1</x:t>
  </x:si>
  <x:si>
    <x:t xml:space="preserve">Caesar CES-3R</x:t>
  </x:si>
  <x:si>
    <x:t xml:space="preserve">Caesar</x:t>
  </x:si>
  <x:si>
    <x:t xml:space="preserve">CES-3R</x:t>
  </x:si>
  <x:si>
    <x:t xml:space="preserve">Catapult CPLT-C1</x:t>
  </x:si>
  <x:si>
    <x:t xml:space="preserve">Catapult</x:t>
  </x:si>
  <x:si>
    <x:t xml:space="preserve">CPLT-C1</x:t>
  </x:si>
  <x:si>
    <x:t xml:space="preserve">IF1,LRM1/1/1</x:t>
  </x:si>
  <x:si>
    <x:t xml:space="preserve">Catapult CPLT-C1b</x:t>
  </x:si>
  <x:si>
    <x:t xml:space="preserve">CPLT-C1b</x:t>
  </x:si>
  <x:si>
    <x:t xml:space="preserve">CASE,IF2,LRM1/2/2</x:t>
  </x:si>
  <x:si>
    <x:t xml:space="preserve">Catapult CPLT-C3</x:t>
  </x:si>
  <x:si>
    <x:t xml:space="preserve">CPLT-C3</x:t>
  </x:si>
  <x:si>
    <x:t xml:space="preserve">ARTAIS-1</x:t>
  </x:si>
  <x:si>
    <x:t xml:space="preserve">Cauldron-Born (Ebon Jaguar) A</x:t>
  </x:si>
  <x:si>
    <x:t xml:space="preserve">Cauldron-Born (Ebon Jaguar)</x:t>
  </x:si>
  <x:si>
    <x:t xml:space="preserve">CASE,OMNI,REAR1/1/-</x:t>
  </x:si>
  <x:si>
    <x:t xml:space="preserve">Cauldron-Born (Ebon Jaguar) B</x:t>
  </x:si>
  <x:si>
    <x:t xml:space="preserve">ENE,OMNI,OVL,PRB,RCN,TAG</x:t>
  </x:si>
  <x:si>
    <x:t xml:space="preserve">Cauldron-Born (Ebon Jaguar) C</x:t>
  </x:si>
  <x:si>
    <x:t xml:space="preserve">CASE,IF2,LRM2/2/2,OMNI,SRM2/2</x:t>
  </x:si>
  <x:si>
    <x:t xml:space="preserve">Cauldron-Born (Ebon Jaguar) Prime</x:t>
  </x:si>
  <x:si>
    <x:t xml:space="preserve">CASE,FLK0*/0*/0*,IF1,OMNI</x:t>
  </x:si>
  <x:si>
    <x:t xml:space="preserve">Centurion CN9-A</x:t>
  </x:si>
  <x:si>
    <x:t xml:space="preserve">Centurion</x:t>
  </x:si>
  <x:si>
    <x:t xml:space="preserve">CN9-A</x:t>
  </x:si>
  <x:si>
    <x:t xml:space="preserve">AC1/1/-,IF1,REAR1/1/0</x:t>
  </x:si>
  <x:si>
    <x:t xml:space="preserve">Champion</x:t>
  </x:si>
  <x:si>
    <x:t xml:space="preserve">Champion CHP-1N</x:t>
  </x:si>
  <x:si>
    <x:t xml:space="preserve">CHP-1N</x:t>
  </x:si>
  <x:si>
    <x:t xml:space="preserve">FLK1/1/1</x:t>
  </x:si>
  <x:si>
    <x:t xml:space="preserve">Champion CHP-3N</x:t>
  </x:si>
  <x:si>
    <x:t xml:space="preserve">CHP-3N</x:t>
  </x:si>
  <x:si>
    <x:t xml:space="preserve">Charger CGR-1A1</x:t>
  </x:si>
  <x:si>
    <x:t xml:space="preserve">Charger</x:t>
  </x:si>
  <x:si>
    <x:t xml:space="preserve">CGR-1A1</x:t>
  </x:si>
  <x:si>
    <x:t xml:space="preserve">Cicada CDA-2A</x:t>
  </x:si>
  <x:si>
    <x:t xml:space="preserve">Cicada</x:t>
  </x:si>
  <x:si>
    <x:t xml:space="preserve">CDA-2A</x:t>
  </x:si>
  <x:si>
    <x:t xml:space="preserve">16"</x:t>
  </x:si>
  <x:si>
    <x:t xml:space="preserve">Clint CLNT-2-3T</x:t>
  </x:si>
  <x:si>
    <x:t xml:space="preserve">Clint</x:t>
  </x:si>
  <x:si>
    <x:t xml:space="preserve">CLNT-2-3T</x:t>
  </x:si>
  <x:si>
    <x:t xml:space="preserve">12"j</x:t>
  </x:si>
  <x:si>
    <x:t xml:space="preserve">Clint CLNT-2-3U</x:t>
  </x:si>
  <x:si>
    <x:t xml:space="preserve">CLNT-2-3U</x:t>
  </x:si>
  <x:si>
    <x:t xml:space="preserve">cRB-27 crab; CRB-27 crab</x:t>
  </x:si>
  <x:si>
    <x:t xml:space="preserve">Crab CRB-27</x:t>
  </x:si>
  <x:si>
    <x:t xml:space="preserve">Crab</x:t>
  </x:si>
  <x:si>
    <x:t xml:space="preserve">CRB-27</x:t>
  </x:si>
  <x:si>
    <x:t xml:space="preserve">Crab CRB-27b</x:t>
  </x:si>
  <x:si>
    <x:t xml:space="preserve">CRB-27b</x:t>
  </x:si>
  <x:si>
    <x:t xml:space="preserve">Crockett CRK-5003-1</x:t>
  </x:si>
  <x:si>
    <x:t xml:space="preserve">Crockett</x:t>
  </x:si>
  <x:si>
    <x:t xml:space="preserve">CRK-5003-1</x:t>
  </x:si>
  <x:si>
    <x:t xml:space="preserve">FLK1/1/1,SRM1/1</x:t>
  </x:si>
  <x:si>
    <x:t xml:space="preserve">Crossbow</x:t>
  </x:si>
  <x:si>
    <x:t xml:space="preserve">CASE,IF1,OMNI</x:t>
  </x:si>
  <x:si>
    <x:t xml:space="preserve">CASE,IF3,OMNI</x:t>
  </x:si>
  <x:si>
    <x:t xml:space="preserve">Crusader CRD-2R</x:t>
  </x:si>
  <x:si>
    <x:t xml:space="preserve">Crusader</x:t>
  </x:si>
  <x:si>
    <x:t xml:space="preserve">CRD-2R</x:t>
  </x:si>
  <x:si>
    <x:t xml:space="preserve">CASE,IF2</x:t>
  </x:si>
  <x:si>
    <x:t xml:space="preserve">Crusader CRD-3R</x:t>
  </x:si>
  <x:si>
    <x:t xml:space="preserve">CRD-3R</x:t>
  </x:si>
  <x:si>
    <x:t xml:space="preserve">IF1</x:t>
  </x:si>
  <x:si>
    <x:t xml:space="preserve">Cyclops CP-10-Z</x:t>
  </x:si>
  <x:si>
    <x:t xml:space="preserve">Cyclops</x:t>
  </x:si>
  <x:si>
    <x:t xml:space="preserve">CP-10-Z</x:t>
  </x:si>
  <x:si>
    <x:t xml:space="preserve">AC1/1/-,IF1</x:t>
  </x:si>
  <x:si>
    <x:t xml:space="preserve">Cyclops CP-11-A</x:t>
  </x:si>
  <x:si>
    <x:t xml:space="preserve">CP-11-A</x:t>
  </x:si>
  <x:si>
    <x:t xml:space="preserve">Daishi (Dire Wolf) A</x:t>
  </x:si>
  <x:si>
    <x:t xml:space="preserve">Daishi (Dire Wolf)</x:t>
  </x:si>
  <x:si>
    <x:t xml:space="preserve">Daishi (Dire Wolf) B</x:t>
  </x:si>
  <x:si>
    <x:t xml:space="preserve">CASE,OMNI,OVL</x:t>
  </x:si>
  <x:si>
    <x:t xml:space="preserve">Daishi (Dire Wolf) Prime</x:t>
  </x:si>
  <x:si>
    <x:t xml:space="preserve">CASE,IF0*,OMNI,OVL</x:t>
  </x:si>
  <x:si>
    <x:t xml:space="preserve">Daishi (Dire Wolf) S</x:t>
  </x:si>
  <x:si>
    <x:t xml:space="preserve">CASE,FLK1/1/-,OMNI</x:t>
  </x:si>
  <x:si>
    <x:t xml:space="preserve">Daishi (Dire Wolf) W</x:t>
  </x:si>
  <x:si>
    <x:t xml:space="preserve">W</x:t>
  </x:si>
  <x:si>
    <x:t xml:space="preserve">CASE,IF1,LRM1/1/1,OMNI</x:t>
  </x:si>
  <x:si>
    <x:t xml:space="preserve">Dasher (Fire Moth) A</x:t>
  </x:si>
  <x:si>
    <x:t xml:space="preserve">Dasher (Fire Moth)</x:t>
  </x:si>
  <x:si>
    <x:t xml:space="preserve">26"</x:t>
  </x:si>
  <x:si>
    <x:t xml:space="preserve">AMS,CASE,OMNI,PRB,RCN,TAG</x:t>
  </x:si>
  <x:si>
    <x:t xml:space="preserve">Dasher (Fire Moth) B</x:t>
  </x:si>
  <x:si>
    <x:t xml:space="preserve">CASE,ECM,OMNI</x:t>
  </x:si>
  <x:si>
    <x:t xml:space="preserve">Dasher (Fire Moth) D</x:t>
  </x:si>
  <x:si>
    <x:t xml:space="preserve">Dasher (Fire Moth) Prime</x:t>
  </x:si>
  <x:si>
    <x:t xml:space="preserve">CASE,OMNI,SRM1/1</x:t>
  </x:si>
  <x:si>
    <x:t xml:space="preserve">Dervish DV-6M</x:t>
  </x:si>
  <x:si>
    <x:t xml:space="preserve">Dervish</x:t>
  </x:si>
  <x:si>
    <x:t xml:space="preserve">DV-6M</x:t>
  </x:si>
  <x:si>
    <x:t xml:space="preserve">Dragonfly (Viper) A</x:t>
  </x:si>
  <x:si>
    <x:t xml:space="preserve">Dragonfly (Viper)</x:t>
  </x:si>
  <x:si>
    <x:t xml:space="preserve">16"j</x:t>
  </x:si>
  <x:si>
    <x:t xml:space="preserve">Dragonfly (Viper) B</x:t>
  </x:si>
  <x:si>
    <x:t xml:space="preserve">Dragonfly (Viper) C</x:t>
  </x:si>
  <x:si>
    <x:t xml:space="preserve">CASE,HT1/-/-,OMNI,PRB,RCN</x:t>
  </x:si>
  <x:si>
    <x:t xml:space="preserve">Dragonfly (Viper) D</x:t>
  </x:si>
  <x:si>
    <x:t xml:space="preserve">CASE,IF0*,OMNI</x:t>
  </x:si>
  <x:si>
    <x:t xml:space="preserve">Dragonfly (Viper) Prime</x:t>
  </x:si>
  <x:si>
    <x:t xml:space="preserve">Emperor EMP-6A</x:t>
  </x:si>
  <x:si>
    <x:t xml:space="preserve">Emperor</x:t>
  </x:si>
  <x:si>
    <x:t xml:space="preserve">EMP-6A</x:t>
  </x:si>
  <x:si>
    <x:t xml:space="preserve">Excalibur EXC-B2</x:t>
  </x:si>
  <x:si>
    <x:t xml:space="preserve">Excalibur</x:t>
  </x:si>
  <x:si>
    <x:t xml:space="preserve">EXC-B2</x:t>
  </x:si>
  <x:si>
    <x:t xml:space="preserve">AMS,CASE,IF2</x:t>
  </x:si>
  <x:si>
    <x:t xml:space="preserve">Exterminator EXT-4D</x:t>
  </x:si>
  <x:si>
    <x:t xml:space="preserve">Exterminator</x:t>
  </x:si>
  <x:si>
    <x:t xml:space="preserve">EXT-4D</x:t>
  </x:si>
  <x:si>
    <x:t xml:space="preserve">AMS,IF1</x:t>
  </x:si>
  <x:si>
    <x:t xml:space="preserve">Fenris (Ice Ferret) A</x:t>
  </x:si>
  <x:si>
    <x:t xml:space="preserve">Fenris (Ice Ferret)</x:t>
  </x:si>
  <x:si>
    <x:t xml:space="preserve">AMS,CASE,FLK0*/0*/0*,OMNI</x:t>
  </x:si>
  <x:si>
    <x:t xml:space="preserve">Fenris (Ice Ferret) B</x:t>
  </x:si>
  <x:si>
    <x:t xml:space="preserve">Fenris (Ice Ferret) C</x:t>
  </x:si>
  <x:si>
    <x:t xml:space="preserve">Fenris (Ice Ferret) D</x:t>
  </x:si>
  <x:si>
    <x:t xml:space="preserve">Fenris (Ice Ferret) Prime</x:t>
  </x:si>
  <x:si>
    <x:t xml:space="preserve">CASE,OMNI,PRB,RCN</x:t>
  </x:si>
  <x:si>
    <x:t xml:space="preserve">Fire Falcon</x:t>
  </x:si>
  <x:si>
    <x:t xml:space="preserve">ENE,OMNI,OVL</x:t>
  </x:si>
  <x:si>
    <x:t xml:space="preserve">CASE,OMNI,PRB,RCN,SRM1/1</x:t>
  </x:si>
  <x:si>
    <x:t xml:space="preserve">CASE,OMNI,SNARC,SRM1/1,TAG</x:t>
  </x:si>
  <x:si>
    <x:t xml:space="preserve">Firefly</x:t>
  </x:si>
  <x:si>
    <x:t xml:space="preserve">10"/8"j</x:t>
  </x:si>
  <x:si>
    <x:t xml:space="preserve">CASE,JMPW1</x:t>
  </x:si>
  <x:si>
    <x:t xml:space="preserve">Firefly FFL-4C</x:t>
  </x:si>
  <x:si>
    <x:t xml:space="preserve">FFL-4C</x:t>
  </x:si>
  <x:si>
    <x:t xml:space="preserve">AMS,CASE,IF0*,JMPW1</x:t>
  </x:si>
  <x:si>
    <x:t xml:space="preserve">Firestarter FS9-H</x:t>
  </x:si>
  <x:si>
    <x:t xml:space="preserve">Firestarter</x:t>
  </x:si>
  <x:si>
    <x:t xml:space="preserve">FS9-H</x:t>
  </x:si>
  <x:si>
    <x:t xml:space="preserve">HT1/-/-, REAR0*/-/-</x:t>
  </x:si>
  <x:si>
    <x:t xml:space="preserve">Firestarter FS9-M "Mirage"</x:t>
  </x:si>
  <x:si>
    <x:t xml:space="preserve">FS9-M "Mirage"</x:t>
  </x:si>
  <x:si>
    <x:t xml:space="preserve">Flashman FLS-8K</x:t>
  </x:si>
  <x:si>
    <x:t xml:space="preserve">Flashman</x:t>
  </x:si>
  <x:si>
    <x:t xml:space="preserve">FLS-8K</x:t>
  </x:si>
  <x:si>
    <x:t xml:space="preserve">AMS,REAR1/1/-</x:t>
  </x:si>
  <x:si>
    <x:t xml:space="preserve">Glass Spider; Glass Spider/BMB-12D Bombardier</x:t>
  </x:si>
  <x:si>
    <x:t xml:space="preserve">Galahad (Glass Spider) (Standard)</x:t>
  </x:si>
  <x:si>
    <x:t xml:space="preserve">Galahad (Glass Spider)</x:t>
  </x:si>
  <x:si>
    <x:t xml:space="preserve">CASE</x:t>
  </x:si>
  <x:si>
    <x:t xml:space="preserve">Galahad (Glass Spider) 2</x:t>
  </x:si>
  <x:si>
    <x:t xml:space="preserve">Gladiator (Executioner) A</x:t>
  </x:si>
  <x:si>
    <x:t xml:space="preserve">Gladiator (Executioner)</x:t>
  </x:si>
  <x:si>
    <x:t xml:space="preserve">CASE,OMNI,JMPW1</x:t>
  </x:si>
  <x:si>
    <x:t xml:space="preserve">Gladiator (Executioner) B</x:t>
  </x:si>
  <x:si>
    <x:t xml:space="preserve">AMS,CASE,OMNI,JMPW1</x:t>
  </x:si>
  <x:si>
    <x:t xml:space="preserve">Gladiator (Executioner) C</x:t>
  </x:si>
  <x:si>
    <x:t xml:space="preserve">CASE,IF2,OMNI,JMPW1</x:t>
  </x:si>
  <x:si>
    <x:t xml:space="preserve">Gladiator (Executioner) D</x:t>
  </x:si>
  <x:si>
    <x:t xml:space="preserve">CASE,OMNI,SRM2/2,JMPW1</x:t>
  </x:si>
  <x:si>
    <x:t xml:space="preserve">Gladiator (Executioner) Prime</x:t>
  </x:si>
  <x:si>
    <x:t xml:space="preserve">Gladiator (Executioner) TC</x:t>
  </x:si>
  <x:si>
    <x:t xml:space="preserve">TC</x:t>
  </x:si>
  <x:si>
    <x:t xml:space="preserve">ENE,JMPW1,OMNI,PRB,RCN</x:t>
  </x:si>
  <x:si>
    <x:t xml:space="preserve">Goliath GOL-1H</x:t>
  </x:si>
  <x:si>
    <x:t xml:space="preserve">Goliath</x:t>
  </x:si>
  <x:si>
    <x:t xml:space="preserve">GOL-1H</x:t>
  </x:si>
  <x:si>
    <x:t xml:space="preserve">Great Wyrm (Standard)</x:t>
  </x:si>
  <x:si>
    <x:t xml:space="preserve">Grendel (Mongrel) A</x:t>
  </x:si>
  <x:si>
    <x:t xml:space="preserve">Grendel (Mongrel)</x:t>
  </x:si>
  <x:si>
    <x:t xml:space="preserve">Review: post-3052</x:t>
  </x:si>
  <x:si>
    <x:t xml:space="preserve">Grendel (Mongrel) B</x:t>
  </x:si>
  <x:si>
    <x:t xml:space="preserve">Grendel (Mongrel) C</x:t>
  </x:si>
  <x:si>
    <x:t xml:space="preserve">AMS,CASE,FLK1/1/1,OMNI</x:t>
  </x:si>
  <x:si>
    <x:t xml:space="preserve">Grendel (Mongrel) D</x:t>
  </x:si>
  <x:si>
    <x:t xml:space="preserve">Grendel (Mongrel) Prime</x:t>
  </x:si>
  <x:si>
    <x:t xml:space="preserve">Griffin GRF-1N</x:t>
  </x:si>
  <x:si>
    <x:t xml:space="preserve">Griffin</x:t>
  </x:si>
  <x:si>
    <x:t xml:space="preserve">GRF-1N</x:t>
  </x:si>
  <x:si>
    <x:t xml:space="preserve">Griffin GRF-2N</x:t>
  </x:si>
  <x:si>
    <x:t xml:space="preserve">GRF-2N</x:t>
  </x:si>
  <x:si>
    <x:t xml:space="preserve">CASE,ECM,SRM2/2</x:t>
  </x:si>
  <x:si>
    <x:t xml:space="preserve">Griffin IIC (Standard)</x:t>
  </x:si>
  <x:si>
    <x:t xml:space="preserve">CASE,IF1,LRM1/1/1,OVL</x:t>
  </x:si>
  <x:si>
    <x:t xml:space="preserve">12"/14"j</x:t>
  </x:si>
  <x:si>
    <x:t xml:space="preserve">CASE,JMPS1</x:t>
  </x:si>
  <x:si>
    <x:t xml:space="preserve">10"/16"j</x:t>
  </x:si>
  <x:si>
    <x:t xml:space="preserve">12"/18"j</x:t>
  </x:si>
  <x:si>
    <x:t xml:space="preserve">CASE,ECM,JMPS1</x:t>
  </x:si>
  <x:si>
    <x:t xml:space="preserve">Grizzly (Standard)</x:t>
  </x:si>
  <x:si>
    <x:t xml:space="preserve">Guillotine GLT-3N</x:t>
  </x:si>
  <x:si>
    <x:t xml:space="preserve">Guillotine</x:t>
  </x:si>
  <x:si>
    <x:t xml:space="preserve">GLT-3N</x:t>
  </x:si>
  <x:si>
    <x:t xml:space="preserve">Guillotine IIC (Standard)</x:t>
  </x:si>
  <x:si>
    <x:t xml:space="preserve">Hankyu (Arctic Cheetah) A</x:t>
  </x:si>
  <x:si>
    <x:t xml:space="preserve">Hankyu (Arctic Cheetah)</x:t>
  </x:si>
  <x:si>
    <x:t xml:space="preserve">16"/12"j</x:t>
  </x:si>
  <x:si>
    <x:t xml:space="preserve">Hankyu (Arctic Cheetah) B</x:t>
  </x:si>
  <x:si>
    <x:t xml:space="preserve">CASE,FLK0*/0*/0*,OMNI,JMPW1</x:t>
  </x:si>
  <x:si>
    <x:t xml:space="preserve">Hankyu (Arctic Cheetah) D</x:t>
  </x:si>
  <x:si>
    <x:t xml:space="preserve">CASE,IF1,LRM1/1/1,OMNI,JMPW1</x:t>
  </x:si>
  <x:si>
    <x:t xml:space="preserve">Hankyu (Arctic Cheetah) Prime</x:t>
  </x:si>
  <x:si>
    <x:t xml:space="preserve">CASE,ECM,IF1,OMNI,PRB,RCN,TAG,JMPW1</x:t>
  </x:si>
  <x:si>
    <x:t xml:space="preserve">Hermes HER-1S</x:t>
  </x:si>
  <x:si>
    <x:t xml:space="preserve">Hermes</x:t>
  </x:si>
  <x:si>
    <x:t xml:space="preserve">HER-1S</x:t>
  </x:si>
  <x:si>
    <x:t xml:space="preserve">Highlander HGN-732</x:t>
  </x:si>
  <x:si>
    <x:t xml:space="preserve">Highlander</x:t>
  </x:si>
  <x:si>
    <x:t xml:space="preserve">HGN-732</x:t>
  </x:si>
  <x:si>
    <x:t xml:space="preserve">Highlander HGN-732b</x:t>
  </x:si>
  <x:si>
    <x:t xml:space="preserve">HGN-732b</x:t>
  </x:si>
  <x:si>
    <x:t xml:space="preserve">Highlander IIC (Standard)</x:t>
  </x:si>
  <x:si>
    <x:t xml:space="preserve">Hoplite HOP-4Bb</x:t>
  </x:si>
  <x:si>
    <x:t xml:space="preserve">Hoplite</x:t>
  </x:si>
  <x:si>
    <x:t xml:space="preserve">HOP-4Bb</x:t>
  </x:si>
  <x:si>
    <x:t xml:space="preserve">AMS,CASE,ECM,IF1</x:t>
  </x:si>
  <x:si>
    <x:t xml:space="preserve">Hoplite HOP-4Cb</x:t>
  </x:si>
  <x:si>
    <x:t xml:space="preserve">HOP-4Cb</x:t>
  </x:si>
  <x:si>
    <x:t xml:space="preserve">Hunchback HBK-4G</x:t>
  </x:si>
  <x:si>
    <x:t xml:space="preserve">Hunchback</x:t>
  </x:si>
  <x:si>
    <x:t xml:space="preserve">HBK-4G</x:t>
  </x:si>
  <x:si>
    <x:t xml:space="preserve">AC2/2/-</x:t>
  </x:si>
  <x:si>
    <x:t xml:space="preserve">Hunchback HBK-5M</x:t>
  </x:si>
  <x:si>
    <x:t xml:space="preserve">HBK-5M</x:t>
  </x:si>
  <x:si>
    <x:t xml:space="preserve">AC2/2/-,CASE</x:t>
  </x:si>
  <x:si>
    <x:t xml:space="preserve">Hunchback IIC (Standard)</x:t>
  </x:si>
  <x:si>
    <x:t xml:space="preserve">Hussar HSR-200-D</x:t>
  </x:si>
  <x:si>
    <x:t xml:space="preserve">Hussar</x:t>
  </x:si>
  <x:si>
    <x:t xml:space="preserve">HSR-200-D</x:t>
  </x:si>
  <x:si>
    <x:t xml:space="preserve">Hussar HSR-400-D</x:t>
  </x:si>
  <x:si>
    <x:t xml:space="preserve">HSR-400-D</x:t>
  </x:si>
  <x:si>
    <x:t xml:space="preserve">Icestorm (Standard)</x:t>
  </x:si>
  <x:si>
    <x:t xml:space="preserve">24"</x:t>
  </x:si>
  <x:si>
    <x:t xml:space="preserve">CASE,TAG</x:t>
  </x:si>
  <x:si>
    <x:t xml:space="preserve">Jenner IIC (Standard)</x:t>
  </x:si>
  <x:si>
    <x:t xml:space="preserve">18"/14"j</x:t>
  </x:si>
  <x:si>
    <x:t xml:space="preserve">CASE,SRM2/2</x:t>
  </x:si>
  <x:si>
    <x:t xml:space="preserve">18"j</x:t>
  </x:si>
  <x:si>
    <x:t xml:space="preserve">CASE,IF0*</x:t>
  </x:si>
  <x:si>
    <x:t xml:space="preserve">CASE,SNARC</x:t>
  </x:si>
  <x:si>
    <x:t xml:space="preserve">King Crab KGC-000</x:t>
  </x:si>
  <x:si>
    <x:t xml:space="preserve">King Crab</x:t>
  </x:si>
  <x:si>
    <x:t xml:space="preserve">KGC-000</x:t>
  </x:si>
  <x:si>
    <x:t xml:space="preserve">AC2/2/-,CASE,IF1</x:t>
  </x:si>
  <x:si>
    <x:t xml:space="preserve">King Crab KGC-000b</x:t>
  </x:si>
  <x:si>
    <x:t xml:space="preserve">KGC-000b</x:t>
  </x:si>
  <x:si>
    <x:t xml:space="preserve">AC4/4/-,CASE,IF1</x:t>
  </x:si>
  <x:si>
    <x:t xml:space="preserve">King Crab KGC-001</x:t>
  </x:si>
  <x:si>
    <x:t xml:space="preserve">KGC-001</x:t>
  </x:si>
  <x:si>
    <x:t xml:space="preserve">Kingfisher</x:t>
  </x:si>
  <x:si>
    <x:t xml:space="preserve">CASE,FLK1/1/1,OMNI</x:t>
  </x:si>
  <x:si>
    <x:t xml:space="preserve">KTO-19 Kintaro; KTO-19b/KTO-19 Kintaro</x:t>
  </x:si>
  <x:si>
    <x:t xml:space="preserve">Kintaro KTO-19</x:t>
  </x:si>
  <x:si>
    <x:t xml:space="preserve">Kintaro</x:t>
  </x:si>
  <x:si>
    <x:t xml:space="preserve">KTO-19</x:t>
  </x:si>
  <x:si>
    <x:t xml:space="preserve">IF0*,SNARC,SRM1/1</x:t>
  </x:si>
  <x:si>
    <x:t xml:space="preserve">Kintaro KTO-19b</x:t>
  </x:si>
  <x:si>
    <x:t xml:space="preserve">KTO-19b</x:t>
  </x:si>
  <x:si>
    <x:t xml:space="preserve">CASE,IF1,SNARC,SRM2/2</x:t>
  </x:si>
  <x:si>
    <x:t xml:space="preserve">Kodiak (Standard)</x:t>
  </x:si>
  <x:si>
    <x:t xml:space="preserve">Koshi (Mist Lynx) A</x:t>
  </x:si>
  <x:si>
    <x:t xml:space="preserve">Koshi (Mist Lynx)</x:t>
  </x:si>
  <x:si>
    <x:t xml:space="preserve">14"/12"j</x:t>
  </x:si>
  <x:si>
    <x:t xml:space="preserve">AMS,CASE,OMNI,PRB,RCN,TAG,JMPW1</x:t>
  </x:si>
  <x:si>
    <x:t xml:space="preserve">Koshi (Mist Lynx) B</x:t>
  </x:si>
  <x:si>
    <x:t xml:space="preserve">CASE,OMNI,PRB,RCN,SRM2/2,JMPW1</x:t>
  </x:si>
  <x:si>
    <x:t xml:space="preserve">Koshi (Mist Lynx) C</x:t>
  </x:si>
  <x:si>
    <x:t xml:space="preserve">AMS,CASE,ECM,OMNI,PRB,RCN,JMPW1</x:t>
  </x:si>
  <x:si>
    <x:t xml:space="preserve">Koshi (Mist Lynx) D</x:t>
  </x:si>
  <x:si>
    <x:t xml:space="preserve">CASE,OMNI,PRB,RCN,JMPW1</x:t>
  </x:si>
  <x:si>
    <x:t xml:space="preserve">Koshi (Mist Lynx) Prime</x:t>
  </x:si>
  <x:si>
    <x:t xml:space="preserve">CASE,IF1,OMNI,PRB,RCN,JMPW1</x:t>
  </x:si>
  <x:si>
    <x:t xml:space="preserve">Kraken (Bane) (Standard)</x:t>
  </x:si>
  <x:si>
    <x:t xml:space="preserve">Kraken (Bane)</x:t>
  </x:si>
  <x:si>
    <x:t xml:space="preserve">Lancelot LNC25-01</x:t>
  </x:si>
  <x:si>
    <x:t xml:space="preserve">Lancelot</x:t>
  </x:si>
  <x:si>
    <x:t xml:space="preserve">LNC25-01</x:t>
  </x:si>
  <x:si>
    <x:t xml:space="preserve">Lancelot LNC25-05</x:t>
  </x:si>
  <x:si>
    <x:t xml:space="preserve">LNC25-05</x:t>
  </x:si>
  <x:si>
    <x:t xml:space="preserve">Linebacker</x:t>
  </x:si>
  <x:si>
    <x:t xml:space="preserve">CASE,IF0*,OMNI,REAR1/1/-</x:t>
  </x:si>
  <x:si>
    <x:t xml:space="preserve">Locust</x:t>
  </x:si>
  <x:si>
    <x:t xml:space="preserve">Locust IIC (Standard)</x:t>
  </x:si>
  <x:si>
    <x:t xml:space="preserve">Locust LCT-1V</x:t>
  </x:si>
  <x:si>
    <x:t xml:space="preserve">LCT-1V</x:t>
  </x:si>
  <x:si>
    <x:t xml:space="preserve">Loki (Hellbringer) A</x:t>
  </x:si>
  <x:si>
    <x:t xml:space="preserve">Loki (Hellbringer)</x:t>
  </x:si>
  <x:si>
    <x:t xml:space="preserve">CASE,IF1,OMNI,PRB,RCN,SNARC</x:t>
  </x:si>
  <x:si>
    <x:t xml:space="preserve">Loki (Hellbringer) B</x:t>
  </x:si>
  <x:si>
    <x:t xml:space="preserve">CASE,FLK0*/0*/0*,OMNI</x:t>
  </x:si>
  <x:si>
    <x:t xml:space="preserve">Loki (Hellbringer) C</x:t>
  </x:si>
  <x:si>
    <x:t xml:space="preserve">Loki (Hellbringer) M</x:t>
  </x:si>
  <x:si>
    <x:t xml:space="preserve">M</x:t>
  </x:si>
  <x:si>
    <x:t xml:space="preserve">Loki (Hellbringer) Prime</x:t>
  </x:si>
  <x:si>
    <x:t xml:space="preserve">AMS,CASE,ECM,OMNI,OVL,PRB,RCN</x:t>
  </x:si>
  <x:si>
    <x:t xml:space="preserve">Lynx LNX-9Q</x:t>
  </x:si>
  <x:si>
    <x:t xml:space="preserve">Lynx</x:t>
  </x:si>
  <x:si>
    <x:t xml:space="preserve">LNX-9Q</x:t>
  </x:si>
  <x:si>
    <x:t xml:space="preserve">Mad Cat (Timber Wolf) A</x:t>
  </x:si>
  <x:si>
    <x:t xml:space="preserve">Mad Cat (Timber Wolf)</x:t>
  </x:si>
  <x:si>
    <x:t xml:space="preserve">Mad Cat (Timber Wolf) B</x:t>
  </x:si>
  <x:si>
    <x:t xml:space="preserve">Mad Cat (Timber Wolf) C</x:t>
  </x:si>
  <x:si>
    <x:t xml:space="preserve">AMS,CASE,IF1,LRM1/1/1,OMNI,OVL</x:t>
  </x:si>
  <x:si>
    <x:t xml:space="preserve">Mad Cat (Timber Wolf) D</x:t>
  </x:si>
  <x:si>
    <x:t xml:space="preserve">CASE,OMNI,REAR2/2/-</x:t>
  </x:si>
  <x:si>
    <x:t xml:space="preserve">Mad Cat (Timber Wolf) Prime</x:t>
  </x:si>
  <x:si>
    <x:t xml:space="preserve">CASE,IF2,LRM1/1/2,OMNI</x:t>
  </x:si>
  <x:si>
    <x:t xml:space="preserve">Mad Cat (Timber Wolf) S</x:t>
  </x:si>
  <x:si>
    <x:t xml:space="preserve">CASE,OMNI,SRM3/3</x:t>
  </x:si>
  <x:si>
    <x:t xml:space="preserve">Mad Cat (Timber Wolf) TC</x:t>
  </x:si>
  <x:si>
    <x:t xml:space="preserve">Man O' War (Gargoyle) A</x:t>
  </x:si>
  <x:si>
    <x:t xml:space="preserve">Man O' War (Gargoyle)</x:t>
  </x:si>
  <x:si>
    <x:t xml:space="preserve">Man O' War (Gargoyle) B</x:t>
  </x:si>
  <x:si>
    <x:t xml:space="preserve">Man O' War (Gargoyle) C</x:t>
  </x:si>
  <x:si>
    <x:t xml:space="preserve">Man O' War (Gargoyle) D</x:t>
  </x:si>
  <x:si>
    <x:t xml:space="preserve">Man O' War (Gargoyle) Prime</x:t>
  </x:si>
  <x:si>
    <x:t xml:space="preserve">CASE,FLK0*/1/1,OMNI,SRM2/2</x:t>
  </x:si>
  <x:si>
    <x:t xml:space="preserve">Marauder</x:t>
  </x:si>
  <x:si>
    <x:t xml:space="preserve">Marauder IIC (Standard)</x:t>
  </x:si>
  <x:si>
    <x:t xml:space="preserve">Marauder MAD-1R</x:t>
  </x:si>
  <x:si>
    <x:t xml:space="preserve">MAD-1R</x:t>
  </x:si>
  <x:si>
    <x:t xml:space="preserve">Marauder MAD-2R</x:t>
  </x:si>
  <x:si>
    <x:t xml:space="preserve">MAD-2R</x:t>
  </x:si>
  <x:si>
    <x:t xml:space="preserve">Marauder MAD-3R</x:t>
  </x:si>
  <x:si>
    <x:t xml:space="preserve">MAD-3R</x:t>
  </x:si>
  <x:si>
    <x:t xml:space="preserve">Marauder MAD-5CS</x:t>
  </x:si>
  <x:si>
    <x:t xml:space="preserve">MAD-5CS</x:t>
  </x:si>
  <x:si>
    <x:t xml:space="preserve">Marauder MAD-5M</x:t>
  </x:si>
  <x:si>
    <x:t xml:space="preserve">MAD-5M</x:t>
  </x:si>
  <x:si>
    <x:t xml:space="preserve">Masakari (Warhawk) A</x:t>
  </x:si>
  <x:si>
    <x:t xml:space="preserve">Masakari (Warhawk)</x:t>
  </x:si>
  <x:si>
    <x:t xml:space="preserve">CASE,FLK1/1/1,IF1,OMNI</x:t>
  </x:si>
  <x:si>
    <x:t xml:space="preserve">Masakari (Warhawk) B</x:t>
  </x:si>
  <x:si>
    <x:t xml:space="preserve">CASE,OMNI,SNARC,SRM2/2</x:t>
  </x:si>
  <x:si>
    <x:t xml:space="preserve">Masakari (Warhawk) C</x:t>
  </x:si>
  <x:si>
    <x:t xml:space="preserve">Masakari (Warhawk) D</x:t>
  </x:si>
  <x:si>
    <x:t xml:space="preserve">Masakari (Warhawk) Prime</x:t>
  </x:si>
  <x:si>
    <x:t xml:space="preserve">Matador (Standard)</x:t>
  </x:si>
  <x:si>
    <x:t xml:space="preserve">Mercury MCY-97</x:t>
  </x:si>
  <x:si>
    <x:t xml:space="preserve">Mercury</x:t>
  </x:si>
  <x:si>
    <x:t xml:space="preserve">MCY-97</x:t>
  </x:si>
  <x:si>
    <x:t xml:space="preserve">20"</x:t>
  </x:si>
  <x:si>
    <x:t xml:space="preserve">Mercury MCY-99</x:t>
  </x:si>
  <x:si>
    <x:t xml:space="preserve">MCY-99</x:t>
  </x:si>
  <x:si>
    <x:t xml:space="preserve">Mongoose MON-66</x:t>
  </x:si>
  <x:si>
    <x:t xml:space="preserve">Mongoose</x:t>
  </x:si>
  <x:si>
    <x:t xml:space="preserve">MON-66</x:t>
  </x:si>
  <x:si>
    <x:t xml:space="preserve">Naga</x:t>
  </x:si>
  <x:si>
    <x:t xml:space="preserve">ARTAC-2,CASE,OMNI</x:t>
  </x:si>
  <x:si>
    <x:t xml:space="preserve">Night Gyr</x:t>
  </x:si>
  <x:si>
    <x:t xml:space="preserve">CASE,IF3,OMNI,OVL</x:t>
  </x:si>
  <x:si>
    <x:t xml:space="preserve">Night Hawk NTK-2Q</x:t>
  </x:si>
  <x:si>
    <x:t xml:space="preserve">Night Hawk</x:t>
  </x:si>
  <x:si>
    <x:t xml:space="preserve">NTK-2Q</x:t>
  </x:si>
  <x:si>
    <x:t xml:space="preserve">Nightstar NSR-9J</x:t>
  </x:si>
  <x:si>
    <x:t xml:space="preserve">Nightstar</x:t>
  </x:si>
  <x:si>
    <x:t xml:space="preserve">NSR-9J</x:t>
  </x:si>
  <x:si>
    <x:t xml:space="preserve">Nobori-nin (Huntsman) A</x:t>
  </x:si>
  <x:si>
    <x:t xml:space="preserve">Nobori-nin (Huntsman)</x:t>
  </x:si>
  <x:si>
    <x:t xml:space="preserve">Nobori-nin (Huntsman) B</x:t>
  </x:si>
  <x:si>
    <x:t xml:space="preserve">Nobori-nin (Huntsman) C</x:t>
  </x:si>
  <x:si>
    <x:t xml:space="preserve">CASE,IF2,LRM1/1/1,OMNI</x:t>
  </x:si>
  <x:si>
    <x:t xml:space="preserve">Nobori-nin (Huntsman) Prime</x:t>
  </x:si>
  <x:si>
    <x:t xml:space="preserve">AMS,CASE,IF1,OMNI,PRB,RCN,TAG</x:t>
  </x:si>
  <x:si>
    <x:t xml:space="preserve">Orion ON1-K</x:t>
  </x:si>
  <x:si>
    <x:t xml:space="preserve">Orion</x:t>
  </x:si>
  <x:si>
    <x:t xml:space="preserve">ON1-K</x:t>
  </x:si>
  <x:si>
    <x:t xml:space="preserve">Orion ON1-M</x:t>
  </x:si>
  <x:si>
    <x:t xml:space="preserve">ON1-M</x:t>
  </x:si>
  <x:si>
    <x:t xml:space="preserve">CASE,FLK1/1/1,IF1,LRM1/1/1,SNARC</x:t>
  </x:si>
  <x:si>
    <x:t xml:space="preserve">Ostroc OSR-2C</x:t>
  </x:si>
  <x:si>
    <x:t xml:space="preserve">Ostroc</x:t>
  </x:si>
  <x:si>
    <x:t xml:space="preserve">OSR-2C</x:t>
  </x:si>
  <x:si>
    <x:t xml:space="preserve">Ostroc OSR-2Cb</x:t>
  </x:si>
  <x:si>
    <x:t xml:space="preserve">OSR-2Cb</x:t>
  </x:si>
  <x:si>
    <x:t xml:space="preserve">Ostroc OSR-2D</x:t>
  </x:si>
  <x:si>
    <x:t xml:space="preserve">OSR-2D</x:t>
  </x:si>
  <x:si>
    <x:t xml:space="preserve">Ostscout OTT-7J</x:t>
  </x:si>
  <x:si>
    <x:t xml:space="preserve">Ostscout</x:t>
  </x:si>
  <x:si>
    <x:t xml:space="preserve">OTT-7J</x:t>
  </x:si>
  <x:si>
    <x:t xml:space="preserve">Ostscout OTT-7Jb</x:t>
  </x:si>
  <x:si>
    <x:t xml:space="preserve">OTT-7Jb</x:t>
  </x:si>
  <x:si>
    <x:t xml:space="preserve">Ostscout OTT-7K</x:t>
  </x:si>
  <x:si>
    <x:t xml:space="preserve">OTT-7K</x:t>
  </x:si>
  <x:si>
    <x:t xml:space="preserve">ENE,TAG</x:t>
  </x:si>
  <x:si>
    <x:t xml:space="preserve">Ostsol OTL-4D</x:t>
  </x:si>
  <x:si>
    <x:t xml:space="preserve">Ostsol</x:t>
  </x:si>
  <x:si>
    <x:t xml:space="preserve">OTL-4D</x:t>
  </x:si>
  <x:si>
    <x:t xml:space="preserve">ENE,REAR1/1/-</x:t>
  </x:si>
  <x:si>
    <x:t xml:space="preserve">Ostsol OTL-5M</x:t>
  </x:si>
  <x:si>
    <x:t xml:space="preserve">OTL-5M</x:t>
  </x:si>
  <x:si>
    <x:t xml:space="preserve">Panther PNT-8Z</x:t>
  </x:si>
  <x:si>
    <x:t xml:space="preserve">Panther</x:t>
  </x:si>
  <x:si>
    <x:t xml:space="preserve">PNT-8Z</x:t>
  </x:si>
  <x:si>
    <x:t xml:space="preserve">Peregrine (Horned Owl) (Standard)</x:t>
  </x:si>
  <x:si>
    <x:t xml:space="preserve">Peregrine (Horned Owl)</x:t>
  </x:si>
  <x:si>
    <x:t xml:space="preserve">Peregrine (Horned Owl) 2</x:t>
  </x:si>
  <x:si>
    <x:t xml:space="preserve">CASE,IF2,LRM2/2/2</x:t>
  </x:si>
  <x:si>
    <x:t xml:space="preserve">Peregrine (Horned Owl) 3</x:t>
  </x:si>
  <x:si>
    <x:t xml:space="preserve">Peregrine (Horned Owl) 4</x:t>
  </x:si>
  <x:si>
    <x:t xml:space="preserve">Phoenix Hawk IIC (Standard)</x:t>
  </x:si>
  <x:si>
    <x:t xml:space="preserve">CASE,IF4,LRM4/4/4,OVL</x:t>
  </x:si>
  <x:si>
    <x:t xml:space="preserve">Phoenix Hawk PXH-1</x:t>
  </x:si>
  <x:si>
    <x:t xml:space="preserve">Phoenix Hawk</x:t>
  </x:si>
  <x:si>
    <x:t xml:space="preserve">PXH-1</x:t>
  </x:si>
  <x:si>
    <x:t xml:space="preserve">Phoenix Hawk PXH-1bC</x:t>
  </x:si>
  <x:si>
    <x:t xml:space="preserve">PXH-1bC</x:t>
  </x:si>
  <x:si>
    <x:t xml:space="preserve">CASE,ECM,SNARC</x:t>
  </x:si>
  <x:si>
    <x:t xml:space="preserve">Pillager PLG-3Z</x:t>
  </x:si>
  <x:si>
    <x:t xml:space="preserve">Pillager</x:t>
  </x:si>
  <x:si>
    <x:t xml:space="preserve">PLG-3Z</x:t>
  </x:si>
  <x:si>
    <x:t xml:space="preserve">Piranha (Standard)</x:t>
  </x:si>
  <x:si>
    <x:t xml:space="preserve">Pouncer</x:t>
  </x:si>
  <x:si>
    <x:t xml:space="preserve">12"/10"j</x:t>
  </x:si>
  <x:si>
    <x:t xml:space="preserve">CASE,IF2,LRM1/1/2,OMNI,REAR1/1/-</x:t>
  </x:si>
  <x:si>
    <x:t xml:space="preserve">Puma (Adder) A</x:t>
  </x:si>
  <x:si>
    <x:t xml:space="preserve">Puma (Adder)</x:t>
  </x:si>
  <x:si>
    <x:t xml:space="preserve">Puma (Adder) B</x:t>
  </x:si>
  <x:si>
    <x:t xml:space="preserve">CASE,OMNI,FLK0*/0*/0*</x:t>
  </x:si>
  <x:si>
    <x:t xml:space="preserve">Puma (Adder) C</x:t>
  </x:si>
  <x:si>
    <x:t xml:space="preserve">CASE,IF2,LRM2/2/2,OMNI,SNARC</x:t>
  </x:si>
  <x:si>
    <x:t xml:space="preserve">Puma (Adder) D</x:t>
  </x:si>
  <x:si>
    <x:t xml:space="preserve">Puma (Adder) Prime</x:t>
  </x:si>
  <x:si>
    <x:t xml:space="preserve">Puma (Adder) S</x:t>
  </x:si>
  <x:si>
    <x:t xml:space="preserve">CASE,ECM,OMNI,PRB,RCN</x:t>
  </x:si>
  <x:si>
    <x:t xml:space="preserve">Puma (Adder) TC</x:t>
  </x:si>
  <x:si>
    <x:t xml:space="preserve">Rifleman</x:t>
  </x:si>
  <x:si>
    <x:t xml:space="preserve">FLK0*/0*/0*,OVL</x:t>
  </x:si>
  <x:si>
    <x:t xml:space="preserve">Rifleman IIC (Standard)</x:t>
  </x:si>
  <x:si>
    <x:t xml:space="preserve">8"/6"j</x:t>
  </x:si>
  <x:si>
    <x:t xml:space="preserve">CASE,PRB,RCN</x:t>
  </x:si>
  <x:si>
    <x:t xml:space="preserve">6"/10"j</x:t>
  </x:si>
  <x:si>
    <x:t xml:space="preserve">ENE,JMPS1</x:t>
  </x:si>
  <x:si>
    <x:t xml:space="preserve">AMS,CASE,FLK4/4/4,PRB,RCN</x:t>
  </x:si>
  <x:si>
    <x:t xml:space="preserve">ENE,HT2/2/2,JMPS1</x:t>
  </x:si>
  <x:si>
    <x:t xml:space="preserve">CASE,ECM</x:t>
  </x:si>
  <x:si>
    <x:t xml:space="preserve">Rifleman RFL-3N</x:t>
  </x:si>
  <x:si>
    <x:t xml:space="preserve">RFL-3N</x:t>
  </x:si>
  <x:si>
    <x:t xml:space="preserve">Rifleman RFL-5CS</x:t>
  </x:si>
  <x:si>
    <x:t xml:space="preserve">RFL-5CS</x:t>
  </x:si>
  <x:si>
    <x:t xml:space="preserve">Ryoken (Stormcrow) (Attwater)</x:t>
  </x:si>
  <x:si>
    <x:t xml:space="preserve">Ryoken (Stormcrow)</x:t>
  </x:si>
  <x:si>
    <x:t xml:space="preserve">(Attwater)</x:t>
  </x:si>
  <x:si>
    <x:t xml:space="preserve">Ryoken (Stormcrow) A</x:t>
  </x:si>
  <x:si>
    <x:t xml:space="preserve">Ryoken (Stormcrow) B</x:t>
  </x:si>
  <x:si>
    <x:t xml:space="preserve">Ryoken (Stormcrow) C</x:t>
  </x:si>
  <x:si>
    <x:t xml:space="preserve">Ryoken (Stormcrow) D</x:t>
  </x:si>
  <x:si>
    <x:t xml:space="preserve">Ryoken (Stormcrow) Prime</x:t>
  </x:si>
  <x:si>
    <x:t xml:space="preserve">Ryoken (Stormcrow) TC</x:t>
  </x:si>
  <x:si>
    <x:t xml:space="preserve">Scorpion SCP-1N</x:t>
  </x:si>
  <x:si>
    <x:t xml:space="preserve">Scorpion</x:t>
  </x:si>
  <x:si>
    <x:t xml:space="preserve">SCP-1N</x:t>
  </x:si>
  <x:si>
    <x:t xml:space="preserve">Scorpion SCP-1O</x:t>
  </x:si>
  <x:si>
    <x:t xml:space="preserve">SCP-1O</x:t>
  </x:si>
  <x:si>
    <x:t xml:space="preserve">Sentinel STN-3L</x:t>
  </x:si>
  <x:si>
    <x:t xml:space="preserve">Sentinel</x:t>
  </x:si>
  <x:si>
    <x:t xml:space="preserve">STN-3L</x:t>
  </x:si>
  <x:si>
    <x:t xml:space="preserve">Shadow Cat</x:t>
  </x:si>
  <x:si>
    <x:t xml:space="preserve">CASE,ECM,IF2,OMNI,PRB,RCN,JMPW1</x:t>
  </x:si>
  <x:si>
    <x:t xml:space="preserve">CASE,FLK1/1/1,OMNI,PRB,RCN,JMPW1</x:t>
  </x:si>
  <x:si>
    <x:t xml:space="preserve">Shadow Hawk IIC (Standard)</x:t>
  </x:si>
  <x:si>
    <x:t xml:space="preserve">Shadow Hawk SHD-2H</x:t>
  </x:si>
  <x:si>
    <x:t xml:space="preserve">Shadow Hawk</x:t>
  </x:si>
  <x:si>
    <x:t xml:space="preserve">SHD-2H</x:t>
  </x:si>
  <x:si>
    <x:t xml:space="preserve">10"/6"j</x:t>
  </x:si>
  <x:si>
    <x:t xml:space="preserve">IF0*,JMPW1</x:t>
  </x:si>
  <x:si>
    <x:t xml:space="preserve">Shadow Hawk SHD-2Hb</x:t>
  </x:si>
  <x:si>
    <x:t xml:space="preserve">SHD-2Hb</x:t>
  </x:si>
  <x:si>
    <x:t xml:space="preserve">CASE,FLK1/1/1,JMPW1</x:t>
  </x:si>
  <x:si>
    <x:t xml:space="preserve">Shadow Hawk SHD-2Ht</x:t>
  </x:si>
  <x:si>
    <x:t xml:space="preserve">SHD-2Ht</x:t>
  </x:si>
  <x:si>
    <x:t xml:space="preserve">Shootist ST-8A</x:t>
  </x:si>
  <x:si>
    <x:t xml:space="preserve">Shootist</x:t>
  </x:si>
  <x:si>
    <x:t xml:space="preserve">ST-8A</x:t>
  </x:si>
  <x:si>
    <x:t xml:space="preserve">Spartan SPT-N2</x:t>
  </x:si>
  <x:si>
    <x:t xml:space="preserve">Spartan</x:t>
  </x:si>
  <x:si>
    <x:t xml:space="preserve">SPT-N2</x:t>
  </x:si>
  <x:si>
    <x:t xml:space="preserve">AMS,TAG</x:t>
  </x:si>
  <x:si>
    <x:t xml:space="preserve">Spider SDR-5V</x:t>
  </x:si>
  <x:si>
    <x:t xml:space="preserve">Spider</x:t>
  </x:si>
  <x:si>
    <x:t xml:space="preserve">SDR-5V</x:t>
  </x:si>
  <x:si>
    <x:t xml:space="preserve">Stalker STK-3F</x:t>
  </x:si>
  <x:si>
    <x:t xml:space="preserve">Stalker</x:t>
  </x:si>
  <x:si>
    <x:t xml:space="preserve">STK-3F</x:t>
  </x:si>
  <x:si>
    <x:t xml:space="preserve">Stalker STK-3Fb</x:t>
  </x:si>
  <x:si>
    <x:t xml:space="preserve">STK-3Fb</x:t>
  </x:si>
  <x:si>
    <x:t xml:space="preserve">CASE,ECM,IF2</x:t>
  </x:si>
  <x:si>
    <x:t xml:space="preserve">Stalker STK-5M</x:t>
  </x:si>
  <x:si>
    <x:t xml:space="preserve">STK-5M</x:t>
  </x:si>
  <x:si>
    <x:t xml:space="preserve">IF1,LRM1/1/1,SNARC,SRM2/2</x:t>
  </x:si>
  <x:si>
    <x:t xml:space="preserve">Stinger STG-3Gb</x:t>
  </x:si>
  <x:si>
    <x:t xml:space="preserve">Stinger</x:t>
  </x:si>
  <x:si>
    <x:t xml:space="preserve">STG-3Gb</x:t>
  </x:si>
  <x:si>
    <x:t xml:space="preserve">Stinger STG-3R</x:t>
  </x:si>
  <x:si>
    <x:t xml:space="preserve">STG-3R</x:t>
  </x:si>
  <x:si>
    <x:t xml:space="preserve">Stooping Hawk</x:t>
  </x:si>
  <x:si>
    <x:t xml:space="preserve">Supernova (Standard)</x:t>
  </x:si>
  <x:si>
    <x:t xml:space="preserve">ENE,OVL</x:t>
  </x:si>
  <x:si>
    <x:t xml:space="preserve">Talon TLN-5W</x:t>
  </x:si>
  <x:si>
    <x:t xml:space="preserve">TLN-5W</x:t>
  </x:si>
  <x:si>
    <x:t xml:space="preserve">Thor (Summoner) A</x:t>
  </x:si>
  <x:si>
    <x:t xml:space="preserve">Thor (Summoner)</x:t>
  </x:si>
  <x:si>
    <x:t xml:space="preserve">Thor (Summoner) B</x:t>
  </x:si>
  <x:si>
    <x:t xml:space="preserve">AMS,CASE,IF2,LRM2/2/2,OMNI,SNARC,SRM1/1</x:t>
  </x:si>
  <x:si>
    <x:t xml:space="preserve">Thor (Summoner) C</x:t>
  </x:si>
  <x:si>
    <x:t xml:space="preserve">Thor (Summoner) D</x:t>
  </x:si>
  <x:si>
    <x:t xml:space="preserve">Thor (Summoner) M</x:t>
  </x:si>
  <x:si>
    <x:t xml:space="preserve">Thor (Summoner) Prime</x:t>
  </x:si>
  <x:si>
    <x:t xml:space="preserve">Thorn THE-N</x:t>
  </x:si>
  <x:si>
    <x:t xml:space="preserve">Thorn</x:t>
  </x:si>
  <x:si>
    <x:t xml:space="preserve">THE-N</x:t>
  </x:si>
  <x:si>
    <x:t xml:space="preserve">Thresher (Standard)</x:t>
  </x:si>
  <x:si>
    <x:t xml:space="preserve">CASE,FLK0*/0*/0*,SRM1/1</x:t>
  </x:si>
  <x:si>
    <x:t xml:space="preserve">Thug THG-11E</x:t>
  </x:si>
  <x:si>
    <x:t xml:space="preserve">Thug</x:t>
  </x:si>
  <x:si>
    <x:t xml:space="preserve">THG-11E</x:t>
  </x:si>
  <x:si>
    <x:t xml:space="preserve">Thug THG-11Eb</x:t>
  </x:si>
  <x:si>
    <x:t xml:space="preserve">THG-11Eb</x:t>
  </x:si>
  <x:si>
    <x:t xml:space="preserve">Thunder Hawk TDK-7X</x:t>
  </x:si>
  <x:si>
    <x:t xml:space="preserve">Thunder Hawk</x:t>
  </x:si>
  <x:si>
    <x:t xml:space="preserve">TDK-7X</x:t>
  </x:si>
  <x:si>
    <x:t xml:space="preserve">Thunderbolt</x:t>
  </x:si>
  <x:si>
    <x:t xml:space="preserve">Thunderbolt TDR-5S</x:t>
  </x:si>
  <x:si>
    <x:t xml:space="preserve">TDR-5S</x:t>
  </x:si>
  <x:si>
    <x:t xml:space="preserve">Thunderbolt TDR-5Sb</x:t>
  </x:si>
  <x:si>
    <x:t xml:space="preserve">TDR-5Sb</x:t>
  </x:si>
  <x:si>
    <x:t xml:space="preserve">Thunderbolt TDR-7M</x:t>
  </x:si>
  <x:si>
    <x:t xml:space="preserve">TDR-7M</x:t>
  </x:si>
  <x:si>
    <x:t xml:space="preserve">Trebuchet TBT-7M</x:t>
  </x:si>
  <x:si>
    <x:t xml:space="preserve">Trebuchet</x:t>
  </x:si>
  <x:si>
    <x:t xml:space="preserve">TBT-7M</x:t>
  </x:si>
  <x:si>
    <x:t xml:space="preserve">CASE,IF1,LRM1/1/1,SNARC</x:t>
  </x:si>
  <x:si>
    <x:t xml:space="preserve">Turkina</x:t>
  </x:si>
  <x:si>
    <x:t xml:space="preserve">CASE,FLK1/1/-,OMNI,PRB,RCN</x:t>
  </x:si>
  <x:si>
    <x:t xml:space="preserve">CASE,FLK0*/1/1,IF2,LRM2/2/2,OMNI</x:t>
  </x:si>
  <x:si>
    <x:t xml:space="preserve">Uller (Kit Fox) A</x:t>
  </x:si>
  <x:si>
    <x:t xml:space="preserve">Uller (Kit Fox)</x:t>
  </x:si>
  <x:si>
    <x:t xml:space="preserve">Uller (Kit Fox) B</x:t>
  </x:si>
  <x:si>
    <x:t xml:space="preserve">Uller (Kit Fox) C</x:t>
  </x:si>
  <x:si>
    <x:t xml:space="preserve">AMS,CASE,ECM,OMNI,PRB,RCN,TAG</x:t>
  </x:si>
  <x:si>
    <x:t xml:space="preserve">Uller (Kit Fox) D</x:t>
  </x:si>
  <x:si>
    <x:t xml:space="preserve">Uller (Kit Fox) Prime</x:t>
  </x:si>
  <x:si>
    <x:t xml:space="preserve">Uller (Kit Fox) S</x:t>
  </x:si>
  <x:si>
    <x:t xml:space="preserve">UrbanMech UM-R63</x:t>
  </x:si>
  <x:si>
    <x:t xml:space="preserve">UrbanMech</x:t>
  </x:si>
  <x:si>
    <x:t xml:space="preserve">UM-R63</x:t>
  </x:si>
  <x:si>
    <x:t xml:space="preserve">4"j</x:t>
  </x:si>
  <x:si>
    <x:t xml:space="preserve">Venom SDR-9K</x:t>
  </x:si>
  <x:si>
    <x:t xml:space="preserve">Venom</x:t>
  </x:si>
  <x:si>
    <x:t xml:space="preserve">SDR-9K</x:t>
  </x:si>
  <x:si>
    <x:t xml:space="preserve">Victor</x:t>
  </x:si>
  <x:si>
    <x:t xml:space="preserve">Victor VTR-9B</x:t>
  </x:si>
  <x:si>
    <x:t xml:space="preserve">VTR-9B</x:t>
  </x:si>
  <x:si>
    <x:t xml:space="preserve">Viper (Black Python) (Standard)</x:t>
  </x:si>
  <x:si>
    <x:t xml:space="preserve">Viper (Black Python)</x:t>
  </x:si>
  <x:si>
    <x:t xml:space="preserve">Vixen (Incubus) (Standard)</x:t>
  </x:si>
  <x:si>
    <x:t xml:space="preserve">Vixen (Incubus)</x:t>
  </x:si>
  <x:si>
    <x:t xml:space="preserve">Vixen (Incubus) 2</x:t>
  </x:si>
  <x:si>
    <x:t xml:space="preserve">Vixen (Incubus) 3</x:t>
  </x:si>
  <x:si>
    <x:t xml:space="preserve">Vulture (Mad Dog) A</x:t>
  </x:si>
  <x:si>
    <x:t xml:space="preserve">Vulture (Mad Dog)</x:t>
  </x:si>
  <x:si>
    <x:t xml:space="preserve">CASE,OMNI,FLK0*/0*/0*,SRM3/3</x:t>
  </x:si>
  <x:si>
    <x:t xml:space="preserve">Vulture (Mad Dog) B</x:t>
  </x:si>
  <x:si>
    <x:t xml:space="preserve">CASE,IF1,OMNI,OVL</x:t>
  </x:si>
  <x:si>
    <x:t xml:space="preserve">Vulture (Mad Dog) C</x:t>
  </x:si>
  <x:si>
    <x:t xml:space="preserve">Vulture (Mad Dog) D</x:t>
  </x:si>
  <x:si>
    <x:t xml:space="preserve">Vulture (Mad Dog) Prime</x:t>
  </x:si>
  <x:si>
    <x:t xml:space="preserve">Vulture (Mad Dog) S</x:t>
  </x:si>
  <x:si>
    <x:t xml:space="preserve">ENE,OMNI,PRB,RCN</x:t>
  </x:si>
  <x:si>
    <x:t xml:space="preserve">Warhammer</x:t>
  </x:si>
  <x:si>
    <x:t xml:space="preserve">Warhammer IIC (Standard)</x:t>
  </x:si>
  <x:si>
    <x:t xml:space="preserve">Warhammer WHM-6Rb</x:t>
  </x:si>
  <x:si>
    <x:t xml:space="preserve">WHM-6Rb</x:t>
  </x:si>
  <x:si>
    <x:t xml:space="preserve">Warhammer WHM-7CS</x:t>
  </x:si>
  <x:si>
    <x:t xml:space="preserve">WHM-7CS</x:t>
  </x:si>
  <x:si>
    <x:t xml:space="preserve">Warhammer WHM-7M</x:t>
  </x:si>
  <x:si>
    <x:t xml:space="preserve">WHM-7M</x:t>
  </x:si>
  <x:si>
    <x:t xml:space="preserve">AMS</x:t>
  </x:si>
  <x:si>
    <x:t xml:space="preserve">Wasp WSP-1A</x:t>
  </x:si>
  <x:si>
    <x:t xml:space="preserve">Wasp</x:t>
  </x:si>
  <x:si>
    <x:t xml:space="preserve">WSP-1A</x:t>
  </x:si>
  <x:si>
    <x:t xml:space="preserve">Whitworth WTH-1</x:t>
  </x:si>
  <x:si>
    <x:t xml:space="preserve">Whitworth</x:t>
  </x:si>
  <x:si>
    <x:t xml:space="preserve">WTH-1</x:t>
  </x:si>
  <x:si>
    <x:t xml:space="preserve">Whitworth WTH-2</x:t>
  </x:si>
  <x:si>
    <x:t xml:space="preserve">WTH-2</x:t>
  </x:si>
  <x:si>
    <x:t xml:space="preserve">IF2</x:t>
  </x:si>
  <x:si>
    <x:t xml:space="preserve">Wolverine WVR-6R</x:t>
  </x:si>
  <x:si>
    <x:t xml:space="preserve">Wolverine</x:t>
  </x:si>
  <x:si>
    <x:t xml:space="preserve">WVR-6R</x:t>
  </x:si>
  <x:si>
    <x:t xml:space="preserve">Wolverine WVR-7M</x:t>
  </x:si>
  <x:si>
    <x:t xml:space="preserve">WVR-7M</x:t>
  </x:si>
  <x:si>
    <x:t xml:space="preserve">Wyvern IIC (Standard)</x:t>
  </x:si>
  <x:si>
    <x:t xml:space="preserve">Wyvern WVE-5N</x:t>
  </x:si>
  <x:si>
    <x:t xml:space="preserve">Wyvern</x:t>
  </x:si>
  <x:si>
    <x:t xml:space="preserve">WVE-5N</x:t>
  </x:si>
  <x:si>
    <x:t xml:space="preserve">Wyvern WVE-9N</x:t>
  </x:si>
  <x:si>
    <x:t xml:space="preserve">WVE-9N</x:t>
  </x:si>
  <x:si>
    <x:t xml:space="preserve">RAT Display Name</x:t>
  </x:si>
  <x:si>
    <x:t xml:space="preserve">Choice Option</x:t>
  </x:si>
  <x:si>
    <x:t xml:space="preserve">Database Id</x:t>
  </x:si>
  <x:si>
    <x:t xml:space="preserve">Database Full Name</x:t>
  </x:si>
  <x:si>
    <x:t xml:space="preserve">Source RAT/Sheet</x:t>
  </x:si>
  <x:si>
    <x:t xml:space="preserve">Era Review Flag</x:t>
  </x:si>
  <x:si>
    <x:t xml:space="preserve">Clan Light 'Mechs — ClanLightFrontLineFireStar</x:t>
  </x:si>
  <x:si>
    <x:t xml:space="preserve">Clan Light 'Mechs — ClanLightFrontLineBattleStar</x:t>
  </x:si>
  <x:si>
    <x:t xml:space="preserve">Clan Light 'Mechs — ClanLightFrontLineBattleStar; Clan Light 'Mechs — ClanLightFrontLineFireStar</x:t>
  </x:si>
  <x:si>
    <x:t xml:space="preserve">ComStar 'Mechs — Table515354</x:t>
  </x:si>
  <x:si>
    <x:t xml:space="preserve">Clan Heavy 'Mechs — Table424546</x:t>
  </x:si>
  <x:si>
    <x:t xml:space="preserve">Clan Light 'Mechs — ClanLightFrontLineBattleStar; Clan Light 'Mechs — ClanLightFrontLineStrikerStar</x:t>
  </x:si>
  <x:si>
    <x:t xml:space="preserve">Clan Light 'Mechs — ClanLightFrontLineStrikerStar</x:t>
  </x:si>
  <x:si>
    <x:t xml:space="preserve">ComStar 'Mechs — Table51535455</x:t>
  </x:si>
  <x:si>
    <x:t xml:space="preserve">Clan Assault 'Mechs — Table4248</x:t>
  </x:si>
  <x:si>
    <x:t xml:space="preserve">ComStar 'Mechs — Table5153</x:t>
  </x:si>
  <x:si>
    <x:t xml:space="preserve">Clan Assault 'Mechs — Table42454650; Clan Assault 'Mechs — Table4248</x:t>
  </x:si>
  <x:si>
    <x:t xml:space="preserve">Clan Medium 'Mechs — ClanMediumFireStar</x:t>
  </x:si>
  <x:si>
    <x:t xml:space="preserve">Clan Heavy 'Mechs — Table42; ComStar 'Mechs — Table515354</x:t>
  </x:si>
  <x:si>
    <x:t xml:space="preserve">Clan Medium 'Mechs — ClanMediumBattleStar</x:t>
  </x:si>
  <x:si>
    <x:t xml:space="preserve">Clan Medium 'Mechs — ClanMediumStrikerStar</x:t>
  </x:si>
  <x:si>
    <x:t xml:space="preserve">Clan Medium 'Mechs — ClanMediumAssaultStar</x:t>
  </x:si>
  <x:si>
    <x:t xml:space="preserve">Clan Heavy 'Mechs — Table42454647</x:t>
  </x:si>
  <x:si>
    <x:t xml:space="preserve">Clan Assault 'Mechs — Table424549</x:t>
  </x:si>
  <x:si>
    <x:t xml:space="preserve">Clan Medium 'Mechs — Table24</x:t>
  </x:si>
  <x:si>
    <x:t xml:space="preserve">Clan Heavy 'Mechs — Table424546; ComStar 'Mechs — Table515354</x:t>
  </x:si>
  <x:si>
    <x:t xml:space="preserve">Clan Heavy 'Mechs — ClanHeavyAssaultStar; Clan Heavy 'Mechs — ClanHeavyStrikerStar; Clan Heavy 'Mechs — Table42</x:t>
  </x:si>
  <x:si>
    <x:t xml:space="preserve">Clan Heavy 'Mechs — ClanHeavyStrikerStar</x:t>
  </x:si>
  <x:si>
    <x:t xml:space="preserve">Clan Heavy 'Mechs — ClanHeavyAssaultStar; Clan Heavy 'Mechs — ClanHeavyFireStar; Clan Heavy 'Mechs — Table424546</x:t>
  </x:si>
  <x:si>
    <x:t xml:space="preserve">Clan Assault 'Mechs — ClanAssaultAssaultStar; Clan Assault 'Mechs — ClanAssaultFireStar</x:t>
  </x:si>
  <x:si>
    <x:t xml:space="preserve">Clan Assault 'Mechs — ClanAssaultFireStar</x:t>
  </x:si>
  <x:si>
    <x:t xml:space="preserve">Clan Assault 'Mechs — ClanAssaultAssaultStar; Clan Assault 'Mechs — ClanAssaultBattleStar</x:t>
  </x:si>
  <x:si>
    <x:t xml:space="preserve">Clan Assault 'Mechs — ClanAssaultAssaultStar</x:t>
  </x:si>
  <x:si>
    <x:t xml:space="preserve">Clan Heavy 'Mechs — ClanHeavyAssaultStar; Clan Heavy 'Mechs — ClanHeavyStrikerStar</x:t>
  </x:si>
  <x:si>
    <x:t xml:space="preserve">Clan Heavy 'Mechs — ClanHeavyFireStar</x:t>
  </x:si>
  <x:si>
    <x:t xml:space="preserve">Clan Heavy 'Mechs — ClanHeavyAssaultStar; Clan Heavy 'Mechs — ClanHeavyBattleStar; Clan Heavy 'Mechs — ClanHeavyStrikerStar</x:t>
  </x:si>
  <x:si>
    <x:t xml:space="preserve">Clan Assault 'Mechs — Table42454650</x:t>
  </x:si>
  <x:si>
    <x:t xml:space="preserve">Clan Assault 'Mechs — ClanAssaultBattleStar; Clan Assault 'Mechs — ClanAssaultStrikerStar</x:t>
  </x:si>
  <x:si>
    <x:t xml:space="preserve">Clan Assault 'Mechs — ClanAssaultStrikerStar</x:t>
  </x:si>
  <x:si>
    <x:t xml:space="preserve">Clan Assault 'Mechs — ClanAssaultFireStar; Clan Assault 'Mechs — ClanAssaultStrikerStar</x:t>
  </x:si>
  <x:si>
    <x:t xml:space="preserve">Clan Assault 'Mechs — ClanAssaultBattleStar; Clan Assault 'Mechs — ClanAssaultFireStar; Clan Assault 'Mechs — ClanAssaultStrikerStar; Clan Assault 'Mechs — Table4245464751</x:t>
  </x:si>
  <x:si>
    <x:t xml:space="preserve">ComStar 'Mechs — Table51</x:t>
  </x:si>
  <x:si>
    <x:t xml:space="preserve">Clan Light 'Mechs — ClanLightSecondLineStrikerStar</x:t>
  </x:si>
  <x:si>
    <x:t xml:space="preserve">Clan Heavy 'Mechs — Table42454647; ComStar 'Mechs — Table515354</x:t>
  </x:si>
  <x:si>
    <x:t xml:space="preserve">Clan Assault 'Mechs — ClanAssaultAssaultStar; Clan Assault 'Mechs — ClanAssaultStrikerStar</x:t>
  </x:si>
  <x:si>
    <x:t xml:space="preserve">Clan Assault 'Mechs — ClanAssaultBattleStar; Clan Assault 'Mechs — ClanAssaultStrikerStar; Clan Assault 'Mechs — Table4245464751</x:t>
  </x:si>
  <x:si>
    <x:t xml:space="preserve">Clan Heavy 'Mechs — Table4245</x:t>
  </x:si>
  <x:si>
    <x:t xml:space="preserve">2 of 2</x:t>
  </x:si>
  <x:si>
    <x:t xml:space="preserve">1 of 2</x:t>
  </x:si>
  <x:si>
    <x:t xml:space="preserve">Clan Medium 'Mechs — Table43</x:t>
  </x:si>
  <x:si>
    <x:t xml:space="preserve">Clan Heavy 'Mechs — Table4245; Clan Heavy 'Mechs — Table42454647</x:t>
  </x:si>
  <x:si>
    <x:t xml:space="preserve">Clan Heavy 'Mechs — Table42; Clan Heavy 'Mechs — Table42454647</x:t>
  </x:si>
  <x:si>
    <x:t xml:space="preserve">Clan Heavy 'Mechs — ClanHeavyFireStar; Clan Heavy 'Mechs — ClanHeavyStrikerStar</x:t>
  </x:si>
  <x:si>
    <x:t xml:space="preserve">Clan Heavy 'Mechs — ClanHeavyBattleStar</x:t>
  </x:si>
  <x:si>
    <x:t xml:space="preserve">Clan Heavy 'Mechs — ClanHeavyBattleStar; Clan Heavy 'Mechs — ClanHeavyStrikerStar; Clan Heavy 'Mechs — Table42454647</x:t>
  </x:si>
  <x:si>
    <x:t xml:space="preserve">Clan Assault 'Mechs — Table42454650; Clan Assault 'Mechs — Table424549; Clan Assault 'Mechs — Table4248</x:t>
  </x:si>
  <x:si>
    <x:t xml:space="preserve">Clan Light 'Mechs — ClanLightSecondLineBattleStar; Clan Light 'Mechs — ClanLightSecondLineFireStar</x:t>
  </x:si>
  <x:si>
    <x:t xml:space="preserve">Clan Light 'Mechs — ClanLightSecondLineBattleStar</x:t>
  </x:si>
  <x:si>
    <x:t xml:space="preserve">Clan Medium 'Mechs — ClanMediumBattleStar; Clan Medium 'Mechs — ClanMediumStrikerStar</x:t>
  </x:si>
  <x:si>
    <x:t xml:space="preserve">Clan Medium 'Mechs — ClanMediumAssaultStar; Clan Medium 'Mechs — ClanMediumStrikerStar</x:t>
  </x:si>
  <x:si>
    <x:t xml:space="preserve">Clan Medium 'Mechs — ClanMediumAssaultStar; Clan Medium 'Mechs — ClanMediumBattleStar; Clan Medium 'Mechs — ClanMediumStrikerStar</x:t>
  </x:si>
  <x:si>
    <x:t xml:space="preserve">Clan Light 'Mechs — ClanLightSecondLineFireStar</x:t>
  </x:si>
  <x:si>
    <x:t xml:space="preserve">Clan Assault 'Mechs — ClanAssaultBattleStar</x:t>
  </x:si>
  <x:si>
    <x:t xml:space="preserve">Clan Assault 'Mechs — ClanAssaultAssaultStar; Clan Assault 'Mechs — ClanAssaultBattleStar; Clan Assault 'Mechs — ClanAssaultFireStar</x:t>
  </x:si>
  <x:si>
    <x:t xml:space="preserve">Clan Light 'Mechs — ClanLightFrontLineFireStar; Clan Light 'Mechs — ClanLightFrontLineStrikerStar</x:t>
  </x:si>
  <x:si>
    <x:t xml:space="preserve">Clan Light 'Mechs — ClanLightSecondLineFireStar; Clan Light 'Mechs — ClanLightSecondLineStrikerStar</x:t>
  </x:si>
  <x:si>
    <x:t xml:space="preserve">Clan Heavy 'Mechs — ClanHeavyBattleStar; Clan Heavy 'Mechs — ClanHeavyFireStar</x:t>
  </x:si>
  <x:si>
    <x:t xml:space="preserve">Clan Heavy 'Mechs — ClanHeavyAssaultStar</x:t>
  </x:si>
  <x:si>
    <x:t xml:space="preserve">Clan Heavy 'Mechs — ClanHeavyAssaultStar; Clan Heavy 'Mechs — ClanHeavyBattleStar; Clan Heavy 'Mechs — ClanHeavyFireStar; Clan Heavy 'Mechs — Table424546</x:t>
  </x:si>
  <x:si>
    <x:t xml:space="preserve">Clan Heavy 'Mechs — Table42</x:t>
  </x:si>
  <x:si>
    <x:t xml:space="preserve">Clan Light 'Mechs — ClanLightSecondLineStrikerStar; ComStar 'Mechs — Table51</x:t>
  </x:si>
  <x:si>
    <x:t xml:space="preserve">Clan Medium 'Mechs — ClanMediumBattleStar; Clan Medium 'Mechs — ClanMediumFireStar</x:t>
  </x:si>
  <x:si>
    <x:t xml:space="preserve">Clan Medium 'Mechs — ClanMediumFireStar; Clan Medium 'Mechs — ClanMediumStrikerStar</x:t>
  </x:si>
  <x:si>
    <x:t xml:space="preserve">Clan Medium 'Mechs — ClanMediumAssaultStar; Clan Medium 'Mechs — ClanMediumBattleStar</x:t>
  </x:si>
  <x:si>
    <x:t xml:space="preserve">Clan Assault 'Mechs — Table4245464751; Clan Assault 'Mechs — Table42454650</x:t>
  </x:si>
  <x:si>
    <x:t xml:space="preserve">Clan Assault 'Mechs — Table4245464751</x:t>
  </x:si>
  <x:si>
    <x:t xml:space="preserve">Clan Medium 'Mechs — Table24; ComStar 'Mechs — Table5153</x:t>
  </x:si>
  <x:si>
    <x:t xml:space="preserve">Clan Assault 'Mechs — Table42454650; Clan Assault 'Mechs — Table424549</x:t>
  </x:si>
  <x:si>
    <x:t xml:space="preserve">Clan Medium 'Mechs — ClanMediumAssaultStar; Clan Medium 'Mechs — ClanMediumBattleStar; Clan Medium 'Mechs — ClanMediumFireStar; Clan Medium 'Mechs — ClanMediumStrikerStar</x:t>
  </x:si>
  <x:si>
    <x:t xml:space="preserve">Clan Heavy 'Mechs — ClanHeavyAssaultStar; Clan Heavy 'Mechs — ClanHeavyFireStar; Clan Heavy 'Mechs — Table42</x:t>
  </x:si>
  <x:si>
    <x:t xml:space="preserve">Clan Heavy 'Mechs — ClanHeavyBattleStar; Clan Heavy 'Mechs — ClanHeavyFireStar; Clan Heavy 'Mechs — Table4245</x:t>
  </x:si>
  <x:si>
    <x:t xml:space="preserve">Clan Light 'Mechs — ClanLightSecondLineFireStar; ComStar 'Mechs — Table51</x:t>
  </x:si>
  <x:si>
    <x:t xml:space="preserve">Clan Heavy 'Mechs — Table42; Clan Heavy 'Mechs — Table4245</x:t>
  </x:si>
  <x:si>
    <x:t xml:space="preserve">Clan Assault 'Mechs — Table424549; Clan Assault 'Mechs — Table4248</x:t>
  </x:si>
  <x:si>
    <x:t xml:space="preserve">Date</x:t>
  </x:si>
  <x:si>
    <x:t xml:space="preserve">Sheet</x:t>
  </x:si>
  <x:si>
    <x:t xml:space="preserve">Table</x:t>
  </x:si>
  <x:si>
    <x:t xml:space="preserve">Change</x:t>
  </x:si>
  <x:si>
    <x:t xml:space="preserve">Count / Status</x:t>
  </x:si>
  <x:si>
    <x:t xml:space="preserve">2026-08-17</x:t>
  </x:si>
  <x:si>
    <x:t xml:space="preserve">Normalized Units</x:t>
  </x:si>
  <x:si>
    <x:t xml:space="preserve">UnitCatalog176</x:t>
  </x:si>
  <x:si>
    <x:t xml:space="preserve">Imported uniquely matched RAT BattleMechs from BattleTech Unit Data.ods</x:t>
  </x:si>
  <x:si>
    <x:t xml:space="preserve">Id is the stable key; source Skill intentionally excluded.</x:t>
  </x:si>
  <x:si>
    <x:t xml:space="preserve">RAT Aliases</x:t>
  </x:si>
  <x:si>
    <x:t xml:space="preserve">RATAliasMap176</x:t>
  </x:si>
  <x:si>
    <x:t xml:space="preserve">Mapped visible RAT display names to database Ids and full names</x:t>
  </x:si>
  <x:si>
    <x:t xml:space="preserve">Source RAT/sheet entries are aggregated from 1,281 RAT occurrences.</x:t>
  </x:si>
  <x:si>
    <x:t xml:space="preserve">Normalized Units; RAT Aliases</x:t>
  </x:si>
  <x:si>
    <x:t xml:space="preserve">UnitCatalog176; RATAliasMap176</x:t>
  </x:si>
  <x:si>
    <x:t xml:space="preserve">Flagged introduction dates after 3052 for era review</x:t>
  </x:si>
  <x:si>
    <x:t xml:space="preserve">Grendel A–D; Hellbringer C; Warhawk D; Mad Dog D; Horned Owl 3; Horned Owl 4.</x:t>
  </x:si>
  <x:si>
    <x:t xml:space="preserve">Existing 13 sheets</x:t>
  </x:si>
  <x:si>
    <x:t xml:space="preserve">Existing 37 tables</x:t>
  </x:si>
  <x:si>
    <x:t xml:space="preserve">Preserved source/rule sheets, formulas, formatting, and table definitions</x:t>
  </x:si>
  <x:si>
    <x:t xml:space="preserve">Validated</x:t>
  </x:si>
  <x:si>
    <x:t xml:space="preserve">Deferred aerospace, Elemental, ComStar RAT, and Clan Second-Line Medium/Heavy/Assault scope not implemented.</x:t>
  </x:si>
  <x:si>
    <x:t xml:space="preserve">Extended normalized coverage for added Clan Second-Line and ComStar RATs</x:t>
  </x:si>
  <x:si>
    <x:t xml:space="preserve">344 names / 343 Ids</x:t>
  </x:si>
  <x:si>
    <x:t xml:space="preserve">Matched entries only; user RAT values preserved.</x:t>
  </x:si>
  <x:si>
    <x:t xml:space="preserve">RAT Reconciliation</x:t>
  </x:si>
  <x:si>
    <x:t xml:space="preserve">RATReconciliationIssues</x:t>
  </x:si>
  <x:si>
    <x:t xml:space="preserve">Recorded RAT entries that do not uniquely resolve to a database Id</x:t>
  </x:si>
  <x:si>
    <x:t xml:space="preserve">Likely typos or combined alternatives; no corrections inferred.</x:t>
  </x:si>
  <x:si>
    <x:t xml:space="preserve">ComStar Formations</x:t>
  </x:si>
  <x:si>
    <x:t xml:space="preserve">Table55; Table56; Table57</x:t>
  </x:si>
  <x:si>
    <x:t xml:space="preserve">Validated newly added ComStar formation tables and preserved content</x:t>
  </x:si>
  <x:si>
    <x:t xml:space="preserve">ComStar RAT and Clan Second-Line scope are no longer deferred.</x:t>
  </x:si>
  <x:si>
    <x:t xml:space="preserve">RAT source sheets; Normalized Units; RAT Aliases; RAT Reconciliation</x:t>
  </x:si>
  <x:si>
    <x:t xml:space="preserve">UnitCatalog; RATAliasMap; RATReconciliation</x:t>
  </x:si>
  <x:si>
    <x:t xml:space="preserve">Applied all confirmed RAT corrections and explicit database mappings</x:t>
  </x:si>
  <x:si>
    <x:t xml:space="preserve">12 issues resolved / 0 unresolved</x:t>
  </x:si>
  <x:si>
    <x:t xml:space="preserve">Ten entries corrected or mapped; two slash-delimited entries retained as two-option player choices.</x:t>
  </x:si>
  <x:si>
    <x:t xml:space="preserve">Force Builder policy</x:t>
  </x:si>
  <x:si>
    <x:t xml:space="preserve">Pending interface implementation</x:t>
  </x:si>
  <x:si>
    <x:t xml:space="preserve">Recorded forced era rule for the May 3052 campaign</x:t>
  </x:si>
  <x:si>
    <x:t xml:space="preserve">Introduced year &lt;= 3052</x:t>
  </x:si>
  <x:si>
    <x:t xml:space="preserve">Post-3052 results will be rejected and rerolled; current RATs always retain eligible results.</x:t>
  </x:si>
  <x:si>
    <x:t xml:space="preserve">Force Builder; Force Builder Lists</x:t>
  </x:si>
  <x:si>
    <x:t xml:space="preserve">ForceBuilderResults; ForceBuilderRollLog</x:t>
  </x:si>
  <x:si>
    <x:t xml:space="preserve">Simplified Step 1 to one side-aware Unit selector</x:t>
  </x:si>
  <x:si>
    <x:t xml:space="preserve">Interface ready</x:t>
  </x:si>
  <x:si>
    <x:t xml:space="preserve">The Unit dropdown switches between the selected Clan's units and ComStar units based on Playing As. Clan still identifies the opposing faction in ComStar mode.</x:t>
  </x:si>
  <x:si>
    <x:t xml:space="preserve">Original RAT Display Name</x:t>
  </x:si>
  <x:si>
    <x:t xml:space="preserve">Corrected RAT Display Name</x:t>
  </x:si>
  <x:si>
    <x:t xml:space="preserve">Locations</x:t>
  </x:si>
  <x:si>
    <x:t xml:space="preserve">Selected Database Mapping</x:t>
  </x:si>
  <x:si>
    <x:t xml:space="preserve">BJ-I Blackjack</x:t>
  </x:si>
  <x:si>
    <x:t xml:space="preserve">ComStar 'Mechs — Table5153 (D18)</x:t>
  </x:si>
  <x:si>
    <x:t xml:space="preserve">Blackjack BJ-1 [Id 373]</x:t>
  </x:si>
  <x:si>
    <x:t xml:space="preserve">Resolved — corrected or explicitly mapped</x:t>
  </x:si>
  <x:si>
    <x:t xml:space="preserve">CHP-IN Champion</x:t>
  </x:si>
  <x:si>
    <x:t xml:space="preserve">ComStar 'Mechs — Table515354 (E33)</x:t>
  </x:si>
  <x:si>
    <x:t xml:space="preserve">Champion CHP-1N [Id 548]</x:t>
  </x:si>
  <x:si>
    <x:t xml:space="preserve">CP 10-Z Cyclops</x:t>
  </x:si>
  <x:si>
    <x:t xml:space="preserve">ComStar 'Mechs — Table51535455 (B45); ComStar 'Mechs — Table51535455 (D45)</x:t>
  </x:si>
  <x:si>
    <x:t xml:space="preserve">Cyclops CP-10-Z [Id 772]</x:t>
  </x:si>
  <x:si>
    <x:t xml:space="preserve">CP 11-A Cyclops</x:t>
  </x:si>
  <x:si>
    <x:t xml:space="preserve">ComStar 'Mechs — Table51535455 (B47); ComStar 'Mechs — Table51535455 (D51); ComStar 'Mechs — Table51535455 (C52); ComStar 'Mechs — Table51535455 (E53)</x:t>
  </x:si>
  <x:si>
    <x:t xml:space="preserve">Cyclops CP-11-A [Id 773]</x:t>
  </x:si>
  <x:si>
    <x:t xml:space="preserve">ComStar 'Mechs — Table51 (B13); ComStar 'Mechs — Table51 (C13)</x:t>
  </x:si>
  <x:si>
    <x:t xml:space="preserve">Firestarter FS9-M "Mirage" [Id 1098]</x:t>
  </x:si>
  <x:si>
    <x:t xml:space="preserve">Clan Heavy 'Mechs — Table424546 (B81); Clan Heavy 'Mechs — Table424546 (C81); Clan Heavy 'Mechs — Table424546 (D81); Clan Heavy 'Mechs — Table424546 (E81); Clan Heavy 'Mechs — Table424546 (F81); Clan Heavy 'Mechs — Table424546 (G81); Clan Heavy 'Mechs — Table424546 (H81)</x:t>
  </x:si>
  <x:si>
    <x:t xml:space="preserve">Galahad (Glass Spider) (Standard) [Id 1170] OR Bombardier BMB-12D [Id 423]</x:t>
  </x:si>
  <x:si>
    <x:t xml:space="preserve">Resolved — player chooses between two units</x:t>
  </x:si>
  <x:si>
    <x:t xml:space="preserve">HGN-732 Higlander</x:t>
  </x:si>
  <x:si>
    <x:t xml:space="preserve">ComStar 'Mechs — Table51535455 (D48)</x:t>
  </x:si>
  <x:si>
    <x:t xml:space="preserve">Highlander HGN-732 [Id 1514]</x:t>
  </x:si>
  <x:si>
    <x:t xml:space="preserve">KGC-001King Crab</x:t>
  </x:si>
  <x:si>
    <x:t xml:space="preserve">ComStar 'Mechs — Table51535455 (C48)</x:t>
  </x:si>
  <x:si>
    <x:t xml:space="preserve">King Crab KGC-001 [Id 1773]</x:t>
  </x:si>
  <x:si>
    <x:t xml:space="preserve">Clan Medium 'Mechs — Table43 (B63); Clan Medium 'Mechs — Table43 (C63); Clan Medium 'Mechs — Table43 (D63); Clan Medium 'Mechs — Table43 (E63); Clan Medium 'Mechs — Table43 (F63); Clan Medium 'Mechs — Table43 (G63); Clan Medium 'Mechs — Table43 (H63)</x:t>
  </x:si>
  <x:si>
    <x:t xml:space="preserve">Kintaro KTO-19b [Id 1792] OR Kintaro KTO-19 [Id 1791]</x:t>
  </x:si>
  <x:si>
    <x:t xml:space="preserve">LNC-01-25 Lancelot</x:t>
  </x:si>
  <x:si>
    <x:t xml:space="preserve">Clan Heavy 'Mechs — Table42454647 (B90); Clan Heavy 'Mechs — Table42454647 (C90); Clan Heavy 'Mechs — Table42454647 (D90); Clan Heavy 'Mechs — Table42454647 (E90); Clan Heavy 'Mechs — Table42454647 (F90); Clan Heavy 'Mechs — Table42454647 (H90)</x:t>
  </x:si>
  <x:si>
    <x:t xml:space="preserve">Lancelot LNC25-01 [Id 1853]</x:t>
  </x:si>
  <x:si>
    <x:t xml:space="preserve">SCP-IO Scorpion</x:t>
  </x:si>
  <x:si>
    <x:t xml:space="preserve">ComStar 'Mechs — Table5153 (C26)</x:t>
  </x:si>
  <x:si>
    <x:t xml:space="preserve">Scorpion SCP-1O [Id 2839]</x:t>
  </x:si>
  <x:si>
    <x:t xml:space="preserve">T3T-7M Trebuchet</x:t>
  </x:si>
  <x:si>
    <x:t xml:space="preserve">ComStar 'Mechs — Table5153 (D25)</x:t>
  </x:si>
  <x:si>
    <x:t xml:space="preserve">Trebuchet TBT-7M [Id 3300]</x:t>
  </x:si>
  <x:si>
    <x:t xml:space="preserve">ComStar Units</x:t>
  </x:si>
</x:sst>
</file>

<file path=xl/styles.xml><?xml version="1.0" encoding="utf-8"?>
<x:styleSheet xmlns:x="http://schemas.openxmlformats.org/spreadsheetml/2006/main">
  <x:numFmts count="3">
    <x:numFmt numFmtId="164" formatCode="yyyy\-mm\-dd"/>
    <x:numFmt numFmtId="200" formatCode="+0;-0;0"/>
    <x:numFmt numFmtId="201" formatCode="yyyy-mm-dd"/>
  </x:numFmts>
  <x:fonts count="30">
    <x:font>
      <x:sz val="11"/>
      <x:color theme="1"/>
      <x:name val="Aptos Narrow"/>
    </x:font>
    <x:font>
      <x:b/>
      <x:sz val="11"/>
      <x:color theme="0"/>
      <x:name val="Aptos Narrow"/>
    </x:font>
    <x:font>
      <x:b/>
      <x:sz val="12"/>
      <x:color theme="1"/>
      <x:name val="Aptos Display"/>
    </x:font>
    <x:font>
      <x:b/>
      <x:sz val="16"/>
      <x:color theme="1"/>
      <x:name val="Aptos Display"/>
    </x:font>
    <x:font>
      <x:b/>
      <x:sz val="11"/>
      <x:color theme="1"/>
      <x:name val="Aptos Narrow"/>
    </x:font>
    <x:font>
      <x:b/>
      <x:sz val="12"/>
      <x:color theme="1"/>
      <x:name val="Aptos Narrow"/>
    </x:font>
    <x:font>
      <x:b/>
      <x:sz val="14"/>
      <x:color rgb="FFFFFFFF"/>
      <x:name val="Aptos Narrow"/>
    </x:font>
    <x:font>
      <x:i/>
      <x:sz val="9"/>
      <x:color rgb="FF4B2E5F"/>
      <x:name val="Aptos Narrow"/>
    </x:font>
    <x:font>
      <x:sz val="9"/>
      <x:color theme="1"/>
      <x:name val="Aptos Narrow"/>
    </x:font>
    <x:font>
      <x:b/>
      <x:sz val="11"/>
      <x:color rgb="FFFFFFFF"/>
      <x:name val="Aptos Narrow"/>
    </x:font>
    <x:font>
      <x:sz val="11"/>
      <x:color theme="1"/>
      <x:name val="Aptos Narrow"/>
    </x:font>
    <x:font>
      <x:sz val="11"/>
      <x:color theme="1"/>
      <x:name val="Calibri"/>
    </x:font>
    <x:font>
      <x:b/>
      <x:sz val="12"/>
      <x:color theme="1"/>
      <x:name val="Aptos Display"/>
    </x:font>
    <x:font>
      <x:b/>
      <x:sz val="18"/>
      <x:color rgb="FFFFFFFF"/>
      <x:name val="Aptos Narrow"/>
    </x:font>
    <x:font>
      <x:i/>
      <x:sz val="11"/>
      <x:color rgb="FF4B2E62"/>
      <x:name val="Aptos Narrow"/>
    </x:font>
    <x:font>
      <x:b/>
      <x:sz val="12"/>
      <x:color rgb="FFFFFFFF"/>
      <x:name val="Aptos Narrow"/>
    </x:font>
    <x:font>
      <x:b/>
      <x:sz val="11"/>
      <x:color rgb="FF333333"/>
      <x:name val="Aptos Narrow"/>
    </x:font>
    <x:font>
      <x:b/>
      <x:sz val="11"/>
      <x:color rgb="FF1F1F1F"/>
      <x:name val="Aptos Narrow"/>
    </x:font>
    <x:font>
      <x:i/>
      <x:sz val="11"/>
      <x:color rgb="FF166B2A"/>
      <x:name val="Aptos Narrow"/>
    </x:font>
    <x:font>
      <x:i/>
      <x:sz val="11"/>
      <x:color rgb="FF666666"/>
      <x:name val="Aptos Narrow"/>
    </x:font>
    <x:font>
      <x:b/>
      <x:sz val="12"/>
      <x:color rgb="FF166B2A"/>
      <x:name val="Aptos Narrow"/>
    </x:font>
    <x:font>
      <x:b/>
      <x:sz val="11"/>
      <x:color rgb="FF333333"/>
      <x:name val="Aptos Narrow"/>
    </x:font>
    <x:font>
      <x:b/>
      <x:sz val="11"/>
      <x:color rgb="FF166B2A"/>
      <x:name val="Aptos Narrow"/>
    </x:font>
    <x:font>
      <x:b/>
      <x:sz val="11"/>
      <x:color rgb="FF1F1F1F"/>
      <x:name val="Aptos Narrow"/>
    </x:font>
    <x:font>
      <x:sz val="11"/>
      <x:color rgb="FF1F1F1F"/>
      <x:name val="Aptos Narrow"/>
    </x:font>
    <x:font>
      <x:sz val="11"/>
      <x:color rgb="FF375623"/>
      <x:name val="Aptos Narrow"/>
    </x:font>
    <x:font>
      <x:sz val="11"/>
      <x:color rgb="FF166B2A"/>
      <x:name val="Aptos Narrow"/>
    </x:font>
    <x:font>
      <x:i/>
      <x:sz val="10"/>
      <x:color rgb="FF4B2E5F"/>
      <x:name val="Aptos Narrow"/>
    </x:font>
    <x:font>
      <x:i/>
      <x:sz val="11"/>
      <x:color rgb="FF173A4A"/>
      <x:name val="Aptos Narrow"/>
    </x:font>
    <x:font>
      <x:sz val="11"/>
      <x:color rgb="FF1A5F7A"/>
      <x:name val="Aptos Narrow"/>
    </x:font>
  </x:fonts>
  <x:fills count="32">
    <x:fill>
      <x:patternFill patternType="none"/>
    </x:fill>
    <x:fill>
      <x:patternFill patternType="gray125"/>
    </x:fill>
    <x:fill>
      <x:patternFill patternType="solid">
        <x:fgColor theme="0" tint="-0.15"/>
      </x:patternFill>
    </x:fill>
    <x:fill>
      <x:patternFill patternType="solid">
        <x:fgColor theme="5"/>
      </x:patternFill>
    </x:fill>
    <x:fill>
      <x:patternFill patternType="solid">
        <x:fgColor theme="1"/>
      </x:patternFill>
    </x:fill>
    <x:fill>
      <x:patternFill patternType="solid">
        <x:fgColor rgb="FF4B2E5F"/>
      </x:patternFill>
    </x:fill>
    <x:fill>
      <x:patternFill patternType="solid">
        <x:fgColor rgb="FF4B2E5F"/>
      </x:patternFill>
    </x:fill>
    <x:fill>
      <x:patternFill patternType="solid">
        <x:fgColor rgb="FF1F4E78"/>
      </x:patternFill>
    </x:fill>
    <x:fill>
      <x:patternFill patternType="solid">
        <x:fgColor theme="4" tint="0.79995"/>
      </x:patternFill>
    </x:fill>
    <x:fill>
      <x:patternFill patternType="solid">
        <x:fgColor theme="1"/>
      </x:patternFill>
    </x:fill>
    <x:fill>
      <x:patternFill patternType="solid">
        <x:fgColor theme="0" tint="-0.15"/>
      </x:patternFill>
    </x:fill>
    <x:fill>
      <x:patternFill patternType="solid">
        <x:fgColor rgb="FF4B2E62"/>
      </x:patternFill>
    </x:fill>
    <x:fill>
      <x:patternFill patternType="solid">
        <x:fgColor rgb="FF166B2A"/>
      </x:patternFill>
    </x:fill>
    <x:fill>
      <x:patternFill patternType="solid">
        <x:fgColor rgb="FFFFF2CC"/>
      </x:patternFill>
    </x:fill>
    <x:fill>
      <x:patternFill patternType="solid">
        <x:fgColor rgb="FFC6EFCE"/>
      </x:patternFill>
    </x:fill>
    <x:fill>
      <x:patternFill patternType="solid">
        <x:fgColor theme="0" tint="-0.15"/>
      </x:patternFill>
    </x:fill>
    <x:fill>
      <x:patternFill patternType="solid">
        <x:fgColor rgb="FF4B2E62"/>
      </x:patternFill>
    </x:fill>
    <x:fill>
      <x:patternFill patternType="solid">
        <x:fgColor rgb="FFFFFFFF"/>
      </x:patternFill>
    </x:fill>
    <x:fill>
      <x:patternFill patternType="solid">
        <x:fgColor rgb="FFFFF2CC"/>
      </x:patternFill>
    </x:fill>
    <x:fill>
      <x:patternFill patternType="solid">
        <x:fgColor rgb="FFC6EFCE"/>
      </x:patternFill>
    </x:fill>
    <x:fill>
      <x:patternFill patternType="solid">
        <x:fgColor rgb="FF4B2E62"/>
      </x:patternFill>
    </x:fill>
    <x:fill>
      <x:patternFill patternType="solid">
        <x:fgColor rgb="FF166B2A"/>
      </x:patternFill>
    </x:fill>
    <x:fill>
      <x:patternFill patternType="solid">
        <x:fgColor rgb="FFC6EFCE"/>
      </x:patternFill>
    </x:fill>
    <x:fill>
      <x:patternFill patternType="solid">
        <x:fgColor rgb="FFFFF2CC"/>
      </x:patternFill>
    </x:fill>
    <x:fill>
      <x:patternFill patternType="solid">
        <x:fgColor rgb="FFE2F0D9"/>
      </x:patternFill>
    </x:fill>
    <x:fill>
      <x:patternFill patternType="solid">
        <x:fgColor rgb="FF4B2E62"/>
      </x:patternFill>
    </x:fill>
    <x:fill>
      <x:patternFill patternType="solid">
        <x:fgColor rgb="FFC6EFCE"/>
      </x:patternFill>
    </x:fill>
    <x:fill>
      <x:patternFill patternType="solid">
        <x:fgColor rgb="FF4B2E5F"/>
      </x:patternFill>
    </x:fill>
    <x:fill>
      <x:patternFill patternType="solid">
        <x:fgColor rgb="FF4B2E5F"/>
      </x:patternFill>
    </x:fill>
    <x:fill>
      <x:patternFill patternType="solid">
        <x:fgColor rgb="FF173A4A"/>
      </x:patternFill>
    </x:fill>
    <x:fill>
      <x:patternFill patternType="solid">
        <x:fgColor rgb="FF2F6578"/>
      </x:patternFill>
    </x:fill>
    <x:fill>
      <x:patternFill patternType="solid">
        <x:fgColor rgb="FFE7EEF1"/>
      </x:patternFill>
    </x:fill>
  </x:fills>
  <x:borders count="26">
    <x:border/>
    <x:border>
      <x:bottom style="medium">
        <x:color theme="1"/>
      </x:bottom>
    </x:border>
    <x:border>
      <x:top style="thin">
        <x:color theme="1"/>
      </x:top>
      <x:bottom style="thin">
        <x:color theme="1"/>
      </x:bottom>
    </x:border>
    <x:border>
      <x:top style="thin">
        <x:color theme="9" tint="0.39998"/>
      </x:top>
      <x:bottom style="thin">
        <x:color theme="1"/>
      </x:bottom>
    </x:border>
    <x:border>
      <x:left style="thin">
        <x:color rgb="FFD9E2F3"/>
      </x:left>
      <x:right style="thin">
        <x:color rgb="FFD9E2F3"/>
      </x:right>
      <x:top style="thin">
        <x:color rgb="FFD9E2F3"/>
      </x:top>
      <x:bottom style="thin">
        <x:color rgb="FFD9E2F3"/>
      </x:bottom>
    </x:border>
    <x:border>
      <x:left style="thin">
        <x:color rgb="FFA6B7C8"/>
      </x:left>
      <x:right style="thin">
        <x:color rgb="FFA6B7C8"/>
      </x:right>
      <x:top style="thin">
        <x:color rgb="FFA6B7C8"/>
      </x:top>
      <x:bottom style="thin">
        <x:color rgb="FFA6B7C8"/>
      </x:bottom>
    </x:border>
    <x:border>
      <x:left style="thin">
        <x:color theme="4"/>
      </x:left>
      <x:right style="thin">
        <x:color theme="4"/>
      </x:right>
      <x:top style="thin">
        <x:color theme="4"/>
      </x:top>
      <x:bottom style="medium">
        <x:color theme="4"/>
      </x:bottom>
    </x:border>
    <x:border>
      <x:left style="thin">
        <x:color theme="4"/>
      </x:left>
      <x:right style="thin">
        <x:color theme="4"/>
      </x:right>
      <x:top style="thin">
        <x:color theme="4"/>
      </x:top>
      <x:bottom style="thin">
        <x:color theme="4"/>
      </x:bottom>
    </x:border>
    <x:border>
      <x:right style="thin">
        <x:color theme="4"/>
      </x:right>
      <x:top style="thin">
        <x:color theme="4"/>
      </x:top>
      <x:bottom style="thin">
        <x:color theme="4"/>
      </x:bottom>
    </x:border>
    <x:border>
      <x:left style="thin">
        <x:color theme="4"/>
      </x:left>
      <x:top style="thin">
        <x:color theme="4"/>
      </x:top>
      <x:bottom style="thin">
        <x:color theme="4"/>
      </x:bottom>
    </x:border>
    <x:border>
      <x:right style="thin">
        <x:color theme="4"/>
      </x:right>
      <x:bottom style="medium">
        <x:color theme="4"/>
      </x:bottom>
    </x:border>
    <x:border>
      <x:left style="thin">
        <x:color theme="4"/>
      </x:left>
      <x:right style="thin">
        <x:color theme="4"/>
      </x:right>
      <x:bottom style="medium">
        <x:color theme="4"/>
      </x:bottom>
    </x:border>
    <x:border>
      <x:left style="thin">
        <x:color theme="4"/>
      </x:left>
      <x:bottom style="medium">
        <x:color theme="4"/>
      </x:bottom>
    </x:border>
    <x:border>
      <x:right style="thin">
        <x:color theme="4"/>
      </x:right>
      <x:top style="thin">
        <x:color theme="4"/>
      </x:top>
    </x:border>
    <x:border>
      <x:left style="thin">
        <x:color theme="4"/>
      </x:left>
      <x:right style="thin">
        <x:color theme="4"/>
      </x:right>
      <x:top style="thin">
        <x:color theme="4"/>
      </x:top>
    </x:border>
    <x:border>
      <x:left style="thin">
        <x:color theme="4"/>
      </x:left>
      <x:top style="thin">
        <x:color theme="4"/>
      </x:top>
    </x:border>
    <x:border>
      <x:left style="thin">
        <x:color rgb="FF70AD47"/>
      </x:left>
      <x:right style="thin">
        <x:color rgb="FF70AD47"/>
      </x:right>
      <x:top style="thin">
        <x:color rgb="FF70AD47"/>
      </x:top>
      <x:bottom style="thin">
        <x:color rgb="FF70AD47"/>
      </x:bottom>
    </x:border>
    <x:border>
      <x:bottom style="thin">
        <x:color theme="1"/>
      </x:bottom>
    </x:border>
    <x:border>
      <x:left style="thin">
        <x:color rgb="FFB8C4C9"/>
      </x:left>
      <x:top style="thin">
        <x:color rgb="FFB8C4C9"/>
      </x:top>
    </x:border>
    <x:border>
      <x:right style="thin">
        <x:color rgb="FFB8C4C9"/>
      </x:right>
      <x:top style="thin">
        <x:color rgb="FFB8C4C9"/>
      </x:top>
    </x:border>
    <x:border>
      <x:left style="thin">
        <x:color rgb="FFB8C4C9"/>
      </x:left>
    </x:border>
    <x:border>
      <x:right style="thin">
        <x:color rgb="FFB8C4C9"/>
      </x:right>
    </x:border>
    <x:border>
      <x:left style="thin">
        <x:color rgb="FFB8C4C9"/>
      </x:left>
      <x:bottom style="thin">
        <x:color rgb="FFB8C4C9"/>
      </x:bottom>
    </x:border>
    <x:border>
      <x:right style="thin">
        <x:color rgb="FFB8C4C9"/>
      </x:right>
      <x:bottom style="thin">
        <x:color rgb="FFB8C4C9"/>
      </x:bottom>
    </x:border>
    <x:border>
      <x:top style="thin">
        <x:color rgb="FFB8C4C9"/>
      </x:top>
    </x:border>
    <x:border>
      <x:bottom style="thin">
        <x:color rgb="FFB8C4C9"/>
      </x:bottom>
    </x:border>
  </x:borders>
  <x:cellStyleXfs count="1">
    <x:xf numFmtId="0" fontId="0" fillId="0" borderId="0"/>
  </x:cellStyleXfs>
  <x:cellXfs count="163">
    <x:xf numFmtId="0" fontId="0" fillId="0" borderId="0" xfId="0"/>
    <x:xf numFmtId="0" fontId="0" fillId="0" borderId="0" xfId="0" applyAlignment="1">
      <x:alignment horizontal="center"/>
    </x:xf>
    <x:xf numFmtId="0" fontId="0" fillId="2" borderId="0" xfId="0" applyFill="1"/>
    <x:xf numFmtId="0" fontId="0" fillId="0" borderId="0" xfId="0" applyAlignment="1">
      <x:alignment horizontal="centerContinuous"/>
    </x:xf>
    <x:xf numFmtId="0" fontId="2" fillId="0" borderId="0" xfId="0" applyFont="1" applyAlignment="1">
      <x:alignment horizontal="centerContinuous"/>
    </x:xf>
    <x:xf numFmtId="0" fontId="1" fillId="3" borderId="1" xfId="0" applyFont="1" applyFill="1" applyBorder="1"/>
    <x:xf numFmtId="0" fontId="1" fillId="3" borderId="1" xfId="0" applyFont="1" applyFill="1" applyBorder="1" applyAlignment="1">
      <x:alignment horizontal="center"/>
    </x:xf>
    <x:xf numFmtId="0" fontId="1" fillId="3" borderId="0" xfId="0" applyFont="1" applyFill="1" applyAlignment="1">
      <x:alignment horizontal="center"/>
    </x:xf>
    <x:xf numFmtId="0" fontId="3" fillId="0" borderId="0" xfId="0" applyFont="1" applyAlignment="1">
      <x:alignment horizontal="centerContinuous"/>
    </x:xf>
    <x:xf numFmtId="0" fontId="4" fillId="2" borderId="0" xfId="0" applyFont="1" applyFill="1" applyAlignment="1">
      <x:alignment horizontal="center"/>
    </x:xf>
    <x:xf numFmtId="0" fontId="4" fillId="0" borderId="0" xfId="0" applyFont="1"/>
    <x:xf numFmtId="0" fontId="4" fillId="0" borderId="0" xfId="0" applyFont="1" applyAlignment="1">
      <x:alignment horizontal="center"/>
    </x:xf>
    <x:xf numFmtId="0" fontId="0" fillId="0" borderId="0" xfId="0" applyAlignment="1">
      <x:alignment wrapText="1"/>
    </x:xf>
    <x:xf numFmtId="0" fontId="0" fillId="0" borderId="0" xfId="0" applyAlignment="1">
      <x:alignment horizontal="center" vertical="center"/>
    </x:xf>
    <x:xf numFmtId="0" fontId="5" fillId="0" borderId="0" xfId="0" applyFont="1" applyAlignment="1">
      <x:alignment horizontal="centerContinuous"/>
    </x:xf>
    <x:xf numFmtId="0" fontId="4" fillId="0" borderId="3" xfId="0" applyFont="1" applyBorder="1" applyAlignment="1">
      <x:alignment horizontal="centerContinuous"/>
    </x:xf>
    <x:xf numFmtId="0" fontId="0" fillId="0" borderId="0" xfId="0" applyAlignment="1">
      <x:alignment vertical="center"/>
    </x:xf>
    <x:xf numFmtId="0" fontId="1" fillId="4" borderId="2" xfId="0" applyFont="1" applyFill="1" applyBorder="1" applyAlignment="1">
      <x:alignment horizontal="center"/>
    </x:xf>
    <x:xf numFmtId="0" fontId="1" fillId="4" borderId="2" xfId="0" applyFont="1" applyFill="1" applyBorder="1" applyAlignment="1">
      <x:alignment horizontal="centerContinuous"/>
    </x:xf>
    <x:xf numFmtId="0" fontId="0" fillId="0" borderId="0" xfId="0" applyAlignment="1">
      <x:alignment horizontal="center" wrapText="1"/>
    </x:xf>
    <x:xf numFmtId="3" fontId="0" fillId="0" borderId="0" xfId="0" applyNumberFormat="1" applyAlignment="1">
      <x:alignment horizontal="center" wrapText="1"/>
    </x:xf>
    <x:xf numFmtId="3" fontId="0" fillId="0" borderId="0" xfId="0" applyNumberFormat="1" applyAlignment="1">
      <x:alignment wrapText="1"/>
    </x:xf>
    <x:xf numFmtId="0" fontId="0" fillId="0" borderId="0" xfId="0" applyAlignment="1">
      <x:alignment vertical="center" wrapText="1"/>
    </x:xf>
    <x:xf numFmtId="0" fontId="8" fillId="0" borderId="0" xfId="0" applyFont="1"/>
    <x:xf numFmtId="0" fontId="0" fillId="0" borderId="4" xfId="0" applyBorder="1" applyAlignment="1">
      <x:alignment vertical="top"/>
    </x:xf>
    <x:xf numFmtId="0" fontId="9" fillId="7" borderId="5" xfId="0" applyFont="1" applyFill="1" applyBorder="1" applyAlignment="1">
      <x:alignment vertical="center" wrapText="1"/>
    </x:xf>
    <x:xf numFmtId="1" fontId="0" fillId="0" borderId="4" xfId="0" applyNumberFormat="1" applyBorder="1" applyAlignment="1">
      <x:alignment vertical="top"/>
    </x:xf>
    <x:xf numFmtId="0" fontId="0" fillId="0" borderId="4" xfId="0" applyBorder="1" applyAlignment="1">
      <x:alignment vertical="top" wrapText="1"/>
    </x:xf>
    <x:xf numFmtId="164" fontId="0" fillId="0" borderId="4" xfId="0" applyNumberFormat="1" applyBorder="1" applyAlignment="1">
      <x:alignment vertical="top"/>
    </x:xf>
    <x:xf numFmtId="0" fontId="0" fillId="8" borderId="7" xfId="0" applyFill="1" applyBorder="1"/>
    <x:xf numFmtId="0" fontId="0" fillId="0" borderId="7" xfId="0" applyBorder="1"/>
    <x:xf numFmtId="0" fontId="4" fillId="0" borderId="6" xfId="0" applyFont="1" applyBorder="1" applyAlignment="1">
      <x:alignment horizontal="center"/>
    </x:xf>
    <x:xf numFmtId="0" fontId="0" fillId="8" borderId="7" xfId="0" applyFill="1" applyBorder="1" applyAlignment="1">
      <x:alignment horizontal="center"/>
    </x:xf>
    <x:xf numFmtId="0" fontId="0" fillId="0" borderId="7" xfId="0" applyBorder="1" applyAlignment="1">
      <x:alignment horizontal="center"/>
    </x:xf>
    <x:xf numFmtId="0" fontId="0" fillId="8" borderId="8" xfId="0" applyFill="1" applyBorder="1" applyAlignment="1">
      <x:alignment horizontal="center"/>
    </x:xf>
    <x:xf numFmtId="0" fontId="0" fillId="0" borderId="8" xfId="0" applyBorder="1" applyAlignment="1">
      <x:alignment horizontal="center"/>
    </x:xf>
    <x:xf numFmtId="0" fontId="0" fillId="8" borderId="9" xfId="0" applyFill="1" applyBorder="1"/>
    <x:xf numFmtId="0" fontId="0" fillId="0" borderId="9" xfId="0" applyBorder="1"/>
    <x:xf numFmtId="0" fontId="4" fillId="0" borderId="10" xfId="0" applyFont="1" applyBorder="1" applyAlignment="1">
      <x:alignment horizontal="center"/>
    </x:xf>
    <x:xf numFmtId="0" fontId="4" fillId="0" borderId="11" xfId="0" applyFont="1" applyBorder="1" applyAlignment="1">
      <x:alignment horizontal="center"/>
    </x:xf>
    <x:xf numFmtId="0" fontId="4" fillId="0" borderId="12" xfId="0" applyFont="1" applyBorder="1" applyAlignment="1">
      <x:alignment horizontal="center"/>
    </x:xf>
    <x:xf numFmtId="0" fontId="0" fillId="0" borderId="13" xfId="0" applyBorder="1" applyAlignment="1">
      <x:alignment horizontal="center"/>
    </x:xf>
    <x:xf numFmtId="0" fontId="0" fillId="0" borderId="14" xfId="0" applyBorder="1"/>
    <x:xf numFmtId="0" fontId="0" fillId="0" borderId="15" xfId="0" applyBorder="1"/>
    <x:xf numFmtId="0" fontId="0" fillId="0" borderId="0" xfId="0" applyAlignment="1">
      <x:alignment horizontal="left"/>
    </x:xf>
    <x:xf numFmtId="0" fontId="11" fillId="0" borderId="0" xfId="0" applyFont="1" applyAlignment="1">
      <x:alignment vertical="center"/>
    </x:xf>
    <x:xf numFmtId="0" fontId="10" fillId="0" borderId="0" xfId="0" applyFont="1"/>
    <x:xf numFmtId="0" fontId="2" fillId="0" borderId="0" xfId="0" applyFont="1"/>
    <x:xf numFmtId="0" fontId="12" fillId="0" borderId="0" xfId="0" applyFont="1"/>
    <x:xf numFmtId="0" fontId="1" fillId="9" borderId="2" xfId="0" applyFont="1" applyFill="1" applyBorder="1" applyAlignment="1">
      <x:alignment horizontal="center"/>
    </x:xf>
    <x:xf numFmtId="0" fontId="0" fillId="10" borderId="2" xfId="0" applyFill="1" applyBorder="1" applyAlignment="1">
      <x:alignment horizontal="center"/>
    </x:xf>
    <x:xf numFmtId="0" fontId="0" fillId="0" borderId="2" xfId="0" applyBorder="1" applyAlignment="1">
      <x:alignment horizontal="center"/>
    </x:xf>
    <x:xf numFmtId="1" fontId="0" fillId="0" borderId="0" xfId="0" applyNumberFormat="1"/>
    <x:xf numFmtId="164" fontId="0" fillId="0" borderId="0" xfId="0" applyNumberFormat="1"/>
    <x:xf numFmtId="1" fontId="0" fillId="0" borderId="4" xfId="0" applyNumberFormat="1" applyBorder="1" applyAlignment="1">
      <x:alignment vertical="top" wrapText="1"/>
    </x:xf>
    <x:xf numFmtId="1" fontId="0" fillId="0" borderId="0" xfId="0" applyNumberFormat="1" applyAlignment="1">
      <x:alignment wrapText="1"/>
    </x:xf>
    <x:xf numFmtId="0" fontId="9" fillId="11" borderId="0" xfId="0" applyFont="1" applyFill="1" applyAlignment="1">
      <x:alignment wrapText="1"/>
    </x:xf>
    <x:xf numFmtId="0" fontId="16" fillId="0" borderId="0" xfId="0" applyFont="1" applyAlignment="1">
      <x:alignment vertical="center" wrapText="1"/>
    </x:xf>
    <x:xf numFmtId="0" fontId="17" fillId="13" borderId="16" xfId="0" applyFont="1" applyFill="1" applyBorder="1" applyAlignment="1">
      <x:alignment vertical="center" wrapText="1"/>
    </x:xf>
    <x:xf numFmtId="0" fontId="0" fillId="15" borderId="0" xfId="0" applyFill="1"/>
    <x:xf numFmtId="0" fontId="0" fillId="0" borderId="17" xfId="0" applyBorder="1"/>
    <x:xf numFmtId="0" fontId="6" fillId="5" borderId="0" xfId="0" applyFont="1" applyFill="1" applyAlignment="1">
      <x:alignment horizontal="center" vertical="center" wrapText="1"/>
    </x:xf>
    <x:xf numFmtId="0" fontId="7" fillId="0" borderId="0" xfId="0" applyFont="1" applyAlignment="1">
      <x:alignment vertical="top" wrapText="1"/>
    </x:xf>
    <x:xf numFmtId="0" fontId="6" fillId="5" borderId="0" xfId="0" applyFont="1" applyFill="1" applyAlignment="1">
      <x:alignment horizontal="center" vertical="center"/>
    </x:xf>
    <x:xf numFmtId="0" fontId="7" fillId="0" borderId="0" xfId="0" applyFont="1" applyAlignment="1">
      <x:alignment wrapText="1"/>
    </x:xf>
    <x:xf numFmtId="0" fontId="6" fillId="6" borderId="0" xfId="0" applyFont="1" applyFill="1" applyAlignment="1">
      <x:alignment horizontal="center" vertical="center" wrapText="1"/>
    </x:xf>
    <x:xf numFmtId="0" fontId="0" fillId="14" borderId="16" xfId="0" applyFill="1" applyBorder="1" applyAlignment="1">
      <x:alignment vertical="center" wrapText="1"/>
    </x:xf>
    <x:xf numFmtId="0" fontId="15" fillId="12" borderId="0" xfId="0" applyFont="1" applyFill="1" applyAlignment="1">
      <x:alignment horizontal="center" vertical="center" wrapText="1"/>
    </x:xf>
    <x:xf numFmtId="0" fontId="17" fillId="13" borderId="16" xfId="0" applyFont="1" applyFill="1" applyBorder="1" applyAlignment="1">
      <x:alignment vertical="center" wrapText="1"/>
    </x:xf>
    <x:xf numFmtId="0" fontId="19" fillId="0" borderId="0" xfId="0" applyFont="1" applyAlignment="1">
      <x:alignment vertical="center" wrapText="1"/>
    </x:xf>
    <x:xf numFmtId="0" fontId="18" fillId="14" borderId="16" xfId="0" applyFont="1" applyFill="1" applyBorder="1" applyAlignment="1">
      <x:alignment horizontal="center" vertical="center" wrapText="1"/>
    </x:xf>
    <x:xf numFmtId="0" fontId="20" fillId="14" borderId="16" xfId="0" applyFont="1" applyFill="1" applyBorder="1" applyAlignment="1">
      <x:alignment vertical="center" wrapText="1"/>
    </x:xf>
    <x:xf numFmtId="0" fontId="13" fillId="11" borderId="0" xfId="0" applyFont="1" applyFill="1" applyAlignment="1">
      <x:alignment horizontal="center" vertical="center" wrapText="1"/>
    </x:xf>
    <x:xf numFmtId="0" fontId="14" fillId="0" borderId="0" xfId="0" applyFont="1" applyAlignment="1">
      <x:alignment horizontal="center" vertical="center" wrapText="1"/>
    </x:xf>
    <x:xf numFmtId="0" fontId="0" fillId="0" borderId="0" xfId="0" applyFont="1"/>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0" fillId="0" borderId="0" xfId="0" applyNumberFormat="1" applyFont="1" applyFill="1" applyBorder="1" applyAlignment="1">
      <x:alignment wrapText="1"/>
    </x:xf>
    <x:xf numFmtId="0" fontId="16" fillId="0" borderId="0" xfId="0" applyNumberFormat="1" applyFont="1" applyFill="1" applyBorder="1" applyAlignment="1">
      <x:alignment vertical="center" wrapText="1"/>
    </x:xf>
    <x:xf numFmtId="0" fontId="18" fillId="17" borderId="16" xfId="0" applyNumberFormat="1" applyFont="1" applyFill="1" applyBorder="1" applyAlignment="1">
      <x:alignment horizontal="center" vertical="center" wrapText="1"/>
    </x:xf>
    <x:xf numFmtId="0" fontId="21" fillId="17" borderId="16" xfId="0" applyNumberFormat="1" applyFont="1" applyFill="1" applyBorder="1" applyAlignment="1">
      <x:alignment horizontal="center" vertical="center" wrapText="1"/>
    </x:xf>
    <x:xf numFmtId="0" fontId="21" fillId="17" borderId="16" xfId="0" applyNumberFormat="1" applyFont="1" applyFill="1" applyBorder="1" applyAlignment="1">
      <x:alignment horizontal="left" vertical="center" wrapText="1"/>
    </x:xf>
    <x:xf numFmtId="0" fontId="17" fillId="18" borderId="16" xfId="0" applyNumberFormat="1" applyFont="1" applyFill="1" applyBorder="1" applyAlignment="1">
      <x:alignment vertical="center" wrapText="1"/>
    </x:xf>
    <x:xf numFmtId="0" fontId="17" fillId="19" borderId="16" xfId="0" applyNumberFormat="1" applyFont="1" applyFill="1" applyBorder="1" applyAlignment="1">
      <x:alignment vertical="center" wrapText="1"/>
    </x:xf>
    <x:xf numFmtId="0" fontId="22" fillId="19" borderId="16" xfId="0" applyNumberFormat="1" applyFont="1" applyFill="1" applyBorder="1" applyAlignment="1">
      <x:alignment vertical="center" wrapText="1"/>
    </x:xf>
    <x:xf numFmtId="0" fontId="18" fillId="18" borderId="16" xfId="0" applyNumberFormat="1" applyFont="1" applyFill="1" applyBorder="1" applyAlignment="1">
      <x:alignment horizontal="center" vertical="center" wrapText="1"/>
    </x:xf>
    <x:xf numFmtId="0" fontId="23" fillId="18" borderId="16" xfId="0" applyNumberFormat="1" applyFont="1" applyFill="1" applyBorder="1" applyAlignment="1">
      <x:alignment horizontal="center" vertical="center" wrapText="1"/>
    </x:xf>
    <x:xf numFmtId="0" fontId="23" fillId="18" borderId="16" xfId="0" applyNumberFormat="1" applyFont="1" applyFill="1" applyBorder="1" applyAlignment="1">
      <x:alignment horizontal="left" vertical="center" wrapText="1"/>
    </x:xf>
    <x:xf numFmtId="0" fontId="18" fillId="19" borderId="16"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15" fillId="20" borderId="0" xfId="0" applyNumberFormat="1" applyFont="1" applyFill="1" applyBorder="1" applyAlignment="1">
      <x:alignment horizontal="center" vertical="center" wrapText="1"/>
    </x:xf>
    <x:xf numFmtId="0" fontId="15" fillId="20" borderId="0"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xf numFmtId="0" fontId="15" fillId="12" borderId="0" xfId="0" applyNumberFormat="1" applyFont="1" applyFill="1" applyBorder="1" applyAlignment="1">
      <x:alignment horizontal="center" vertical="center" wrapText="1"/>
    </x:xf>
    <x:xf numFmtId="0" fontId="15" fillId="12" borderId="0" xfId="0" applyNumberFormat="1" applyFont="1" applyFill="1" applyBorder="1" applyAlignment="1">
      <x:alignment horizontal="center" vertical="top" wrapText="1"/>
    </x:xf>
    <x:xf numFmtId="0" fontId="0" fillId="21" borderId="0" xfId="0" applyNumberFormat="1" applyFont="1" applyFill="1" applyBorder="1" applyAlignment="1">
      <x:alignment vertical="center" wrapText="1"/>
    </x:xf>
    <x:xf numFmtId="0" fontId="15" fillId="21" borderId="0" xfId="0" applyNumberFormat="1" applyFont="1" applyFill="1" applyBorder="1" applyAlignment="1">
      <x:alignment vertical="center" wrapText="1"/>
    </x:xf>
    <x:xf numFmtId="0" fontId="15" fillId="21" borderId="0" xfId="0" applyNumberFormat="1" applyFont="1" applyFill="1" applyBorder="1" applyAlignment="1">
      <x:alignment horizontal="center" vertical="center" wrapText="1"/>
    </x:xf>
    <x:xf numFmtId="0" fontId="15" fillId="22" borderId="0" xfId="0" applyNumberFormat="1" applyFont="1" applyFill="1" applyBorder="1" applyAlignment="1">
      <x:alignment horizontal="center" vertical="top" wrapText="1"/>
    </x:xf>
    <x:xf numFmtId="0" fontId="24" fillId="22" borderId="0" xfId="0" applyNumberFormat="1" applyFont="1" applyFill="1" applyBorder="1" applyAlignment="1">
      <x:alignment horizontal="center" vertical="top" wrapText="1"/>
    </x:xf>
    <x:xf numFmtId="0" fontId="0" fillId="23" borderId="16" xfId="0" applyNumberFormat="1" applyFont="1" applyFill="1" applyBorder="1" applyAlignment="1">
      <x:alignment vertical="center" wrapText="1"/>
    </x:xf>
    <x:xf numFmtId="0" fontId="17" fillId="23" borderId="16" xfId="0" applyNumberFormat="1" applyFont="1" applyFill="1" applyBorder="1" applyAlignment="1">
      <x:alignment vertical="center" wrapText="1"/>
    </x:xf>
    <x:xf numFmtId="0" fontId="0" fillId="24" borderId="16" xfId="0" applyNumberFormat="1" applyFont="1" applyFill="1" applyBorder="1" applyAlignment="1">
      <x:alignment vertical="center" wrapText="1"/>
    </x:xf>
    <x:xf numFmtId="0" fontId="25" fillId="24" borderId="16" xfId="0" applyNumberFormat="1" applyFont="1" applyFill="1" applyBorder="1" applyAlignment="1">
      <x:alignment vertical="center" wrapText="1"/>
    </x:xf>
    <x:xf numFmtId="0" fontId="15" fillId="25" borderId="0" xfId="0" applyNumberFormat="1" applyFont="1" applyFill="1" applyBorder="1" applyAlignment="1">
      <x:alignment horizontal="center" vertical="center" wrapText="1"/>
    </x:xf>
    <x:xf numFmtId="0" fontId="15" fillId="25" borderId="0" xfId="0" applyNumberFormat="1" applyFont="1" applyFill="1" applyBorder="1" applyAlignment="1">
      <x:alignment horizontal="left" vertical="center" wrapText="1"/>
    </x:xf>
    <x:xf numFmtId="0" fontId="0" fillId="23" borderId="0" xfId="0" applyNumberFormat="1" applyFont="1" applyFill="1" applyBorder="1" applyAlignment="1">
      <x:alignment vertical="center" wrapText="1"/>
    </x:xf>
    <x:xf numFmtId="0" fontId="0" fillId="23" borderId="0" xfId="0" applyNumberFormat="1" applyFont="1" applyFill="1" applyBorder="1"/>
    <x:xf numFmtId="0" fontId="17" fillId="23" borderId="0" xfId="0" applyNumberFormat="1" applyFont="1" applyFill="1" applyBorder="1" applyAlignment="1">
      <x:alignment vertical="center" wrapText="1"/>
    </x:xf>
    <x:xf numFmtId="0" fontId="17" fillId="23" borderId="0" xfId="0" applyNumberFormat="1" applyFont="1" applyFill="1" applyBorder="1"/>
    <x:xf numFmtId="0" fontId="17" fillId="23" borderId="0" xfId="0" applyNumberFormat="1" applyFont="1" applyFill="1" applyBorder="1" applyAlignment="1">
      <x:alignment horizontal="center" vertical="center" wrapText="1"/>
    </x:xf>
    <x:xf numFmtId="0" fontId="17" fillId="23" borderId="0" xfId="0" applyNumberFormat="1" applyFont="1" applyFill="1" applyBorder="1" applyAlignment="1">
      <x:alignment horizontal="center"/>
    </x:xf>
    <x:xf numFmtId="0" fontId="17" fillId="23" borderId="0" xfId="0" applyNumberFormat="1" applyFont="1" applyFill="1" applyBorder="1" applyAlignment="1">
      <x:alignment horizontal="center" vertical="center"/>
    </x:xf>
    <x:xf numFmtId="0" fontId="0" fillId="26" borderId="0" xfId="0" applyNumberFormat="1" applyFont="1" applyFill="1" applyBorder="1" applyAlignment="1">
      <x:alignment vertical="center" wrapText="1"/>
    </x:xf>
    <x:xf numFmtId="0" fontId="0" fillId="26" borderId="0" xfId="0" applyNumberFormat="1" applyFont="1" applyFill="1" applyBorder="1"/>
    <x:xf numFmtId="0" fontId="22" fillId="26" borderId="0" xfId="0" applyNumberFormat="1" applyFont="1" applyFill="1" applyBorder="1" applyAlignment="1">
      <x:alignment vertical="center" wrapText="1"/>
    </x:xf>
    <x:xf numFmtId="0" fontId="22" fillId="26" borderId="0" xfId="0" applyNumberFormat="1" applyFont="1" applyFill="1" applyBorder="1"/>
    <x:xf numFmtId="0" fontId="22" fillId="26" borderId="0" xfId="0" applyNumberFormat="1" applyFont="1" applyFill="1" applyBorder="1" applyAlignment="1">
      <x:alignment horizontal="center" vertical="center" wrapText="1"/>
    </x:xf>
    <x:xf numFmtId="0" fontId="22" fillId="26" borderId="0" xfId="0" applyNumberFormat="1" applyFont="1" applyFill="1" applyBorder="1" applyAlignment="1">
      <x:alignment horizontal="center"/>
    </x:xf>
    <x:xf numFmtId="0" fontId="22" fillId="26" borderId="0" xfId="0" applyNumberFormat="1" applyFont="1" applyFill="1" applyBorder="1" applyAlignment="1">
      <x:alignment horizontal="center" vertical="center"/>
    </x:xf>
    <x:xf numFmtId="0" fontId="17" fillId="23" borderId="0" xfId="0" applyNumberFormat="1" applyFont="1" applyFill="1" applyBorder="1" applyAlignment="1">
      <x:alignment horizontal="center" vertical="top" wrapText="1"/>
    </x:xf>
    <x:xf numFmtId="0" fontId="22" fillId="26" borderId="0" xfId="0" applyNumberFormat="1" applyFont="1" applyFill="1" applyBorder="1" applyAlignment="1">
      <x:alignment horizontal="center" vertical="top" wrapText="1"/>
    </x:xf>
    <x:xf numFmtId="0" fontId="17" fillId="23" borderId="16" xfId="0" applyNumberFormat="1" applyFont="1" applyFill="1" applyBorder="1" applyAlignment="1">
      <x:alignment horizontal="center" vertical="center" wrapText="1"/>
    </x:xf>
    <x:xf numFmtId="0" fontId="19" fillId="0" borderId="0" xfId="0" applyNumberFormat="1" applyFont="1" applyFill="1" applyBorder="1" applyAlignment="1">
      <x:alignment vertical="center" wrapText="1"/>
    </x:xf>
    <x:xf numFmtId="0" fontId="0" fillId="26" borderId="16" xfId="0" applyNumberFormat="1" applyFont="1" applyFill="1" applyBorder="1" applyAlignment="1">
      <x:alignment vertical="center" wrapText="1"/>
    </x:xf>
    <x:xf numFmtId="0" fontId="26" fillId="26" borderId="16" xfId="0" applyNumberFormat="1" applyFont="1" applyFill="1" applyBorder="1" applyAlignment="1">
      <x:alignment vertical="center" wrapText="1"/>
    </x:xf>
    <x:xf numFmtId="0" fontId="0" fillId="27" borderId="0" xfId="0" applyNumberFormat="1" applyFont="1" applyFill="1" applyBorder="1"/>
    <x:xf numFmtId="0" fontId="6" fillId="27" borderId="0" xfId="0" applyNumberFormat="1" applyFont="1" applyFill="1" applyBorder="1"/>
    <x:xf numFmtId="0" fontId="6" fillId="27" borderId="0" xfId="0" applyNumberFormat="1" applyFont="1" applyFill="1" applyBorder="1" applyAlignment="1">
      <x:alignment horizontal="center"/>
    </x:xf>
    <x:xf numFmtId="0" fontId="6" fillId="27" borderId="0"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28" borderId="0" xfId="0" applyNumberFormat="1" applyFont="1" applyFill="1" applyBorder="1"/>
    <x:xf numFmtId="0" fontId="6" fillId="28" borderId="0" xfId="0" applyNumberFormat="1" applyFont="1" applyFill="1" applyBorder="1"/>
    <x:xf numFmtId="0" fontId="6" fillId="28" borderId="0" xfId="0" applyNumberFormat="1" applyFont="1" applyFill="1" applyBorder="1" applyAlignment="1">
      <x:alignment horizontal="center"/>
    </x:xf>
    <x:xf numFmtId="0" fontId="6" fillId="28" borderId="0" xfId="0" applyNumberFormat="1" applyFont="1" applyFill="1" applyBorder="1" applyAlignment="1">
      <x:alignment horizontal="center" wrapText="1"/>
    </x:xf>
    <x:xf numFmtId="0" fontId="27" fillId="0" borderId="0" xfId="0" applyNumberFormat="1" applyFont="1" applyFill="1" applyBorder="1"/>
    <x:xf numFmtId="0" fontId="27"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x:xf numFmtId="0" fontId="0" fillId="29" borderId="0" xfId="0" applyNumberFormat="1" applyFont="1" applyFill="1" applyBorder="1"/>
    <x:xf numFmtId="0" fontId="13" fillId="29" borderId="0" xfId="0" applyNumberFormat="1" applyFont="1" applyFill="1" applyBorder="1"/>
    <x:xf numFmtId="0" fontId="0" fillId="30" borderId="0" xfId="0" applyNumberFormat="1" applyFont="1" applyFill="1" applyBorder="1"/>
    <x:xf numFmtId="0" fontId="9" fillId="30" borderId="0" xfId="0" applyNumberFormat="1" applyFont="1" applyFill="1" applyBorder="1"/>
    <x:xf numFmtId="0" fontId="9" fillId="30" borderId="0" xfId="0" applyNumberFormat="1" applyFont="1" applyFill="1" applyBorder="1" applyAlignment="1">
      <x:alignment wrapText="1"/>
    </x:xf>
    <x:xf numFmtId="0" fontId="9" fillId="30" borderId="18" xfId="0" applyNumberFormat="1" applyFont="1" applyFill="1" applyBorder="1" applyAlignment="1">
      <x:alignment wrapText="1"/>
    </x:xf>
    <x:xf numFmtId="0" fontId="9" fillId="30" borderId="19" xfId="0" applyNumberFormat="1" applyFont="1" applyFill="1" applyBorder="1" applyAlignment="1">
      <x:alignment wrapText="1"/>
    </x:xf>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31" borderId="0" xfId="0" applyNumberFormat="1" applyFont="1" applyFill="1" applyBorder="1"/>
    <x:xf numFmtId="0" fontId="28" fillId="31" borderId="0" xfId="0" applyNumberFormat="1" applyFont="1" applyFill="1" applyBorder="1"/>
    <x:xf numFmtId="0" fontId="28" fillId="31" borderId="0" xfId="0" applyNumberFormat="1" applyFont="1" applyFill="1" applyBorder="1" applyAlignment="1">
      <x:alignment wrapText="1"/>
    </x:xf>
    <x:xf numFmtId="0" fontId="9" fillId="30" borderId="24" xfId="0" applyNumberFormat="1" applyFont="1" applyFill="1" applyBorder="1" applyAlignment="1">
      <x:alignment wrapText="1"/>
    </x:xf>
    <x:xf numFmtId="0" fontId="0" fillId="0" xfId="0" applyNumberFormat="1" applyFont="1" applyFill="1" applyBorder="0"/>
    <x:xf numFmtId="0" fontId="0" fillId="0" borderId="25" xfId="0" applyNumberFormat="1" applyFont="1" applyFill="1" applyBorder="1"/>
    <x:xf numFmtId="0" fontId="29" fillId="0" borderId="21" xfId="0" applyNumberFormat="1" applyFont="1" applyFill="1" applyBorder="1"/>
    <x:xf numFmtId="0" fontId="29" fillId="0" borderId="23" xfId="0" applyNumberFormat="1" applyFont="1" applyFill="1" applyBorder="1"/>
    <x:xf numFmtId="0" fontId="0" fillId="0" xfId="0" applyNumberFormat="1" applyFont="1" applyFill="1" applyBorder="0" applyAlignment="1">
      <x:alignment wrapText="1"/>
    </x:xf>
    <x:xf numFmtId="0" fontId="0" fillId="0" borderId="25" xfId="0" applyNumberFormat="1" applyFont="1" applyFill="1" applyBorder="1" applyAlignment="1">
      <x:alignment wrapText="1"/>
    </x:xf>
  </x:cellXfs>
  <x:cellStyles count="1">
    <x:cellStyle name="Normal" xfId="0"/>
  </x:cellStyles>
  <x:dxfs count="25">
    <x:dxf>
      <x:font>
        <x:u val="none"/>
        <x:sz val="11"/>
        <x:color theme="1"/>
        <x:name val="Aptos Narrow"/>
        <x:scheme val="none"/>
      </x:font>
    </x:dxf>
    <x:dxf>
      <x:font>
        <x:u val="none"/>
        <x:sz val="11"/>
        <x:color theme="1"/>
        <x:name val="Aptos Narrow"/>
        <x:scheme val="none"/>
      </x:font>
      <x:border>
        <x:left/>
        <x:right/>
        <x:top style="thin">
          <x:color theme="1"/>
        </x:top>
        <x:bottom style="thin">
          <x:color theme="1"/>
        </x:bottom>
      </x:border>
    </x:dxf>
    <x:dxf>
      <x:font>
        <x:u val="none"/>
        <x:sz val="11"/>
        <x:color theme="1"/>
        <x:name val="Aptos Narrow"/>
        <x:scheme val="none"/>
      </x:font>
      <x:border>
        <x:left/>
        <x:right/>
        <x:top style="thin">
          <x:color theme="1"/>
        </x:top>
        <x:bottom style="thin">
          <x:color theme="1"/>
        </x:bottom>
      </x:border>
    </x:dxf>
    <x:dxf>
      <x:font>
        <x:u val="none"/>
        <x:sz val="11"/>
        <x:color theme="1"/>
        <x:name val="Calibri"/>
        <x:family val="2"/>
        <x:scheme val="none"/>
      </x:font>
    </x:dxf>
    <x:dxf>
      <x:font>
        <x:u val="none"/>
        <x:sz val="11"/>
        <x:color theme="1"/>
        <x:name val="Calibri"/>
        <x:family val="2"/>
        <x:scheme val="none"/>
      </x:font>
    </x:dxf>
    <x:dxf>
      <x:font>
        <x:u val="none"/>
        <x:sz val="11"/>
        <x:color theme="1"/>
        <x:name val="Calibri"/>
        <x:family val="2"/>
        <x:scheme val="none"/>
      </x:font>
    </x:dxf>
    <x:dxf>
      <x:font>
        <x:u val="none"/>
        <x:sz val="11"/>
        <x:color theme="1"/>
        <x:name val="Calibri"/>
        <x:family val="2"/>
        <x:scheme val="none"/>
      </x:font>
    </x:dxf>
    <x:dxf>
      <x:font>
        <x:u val="none"/>
        <x:sz val="11"/>
        <x:color theme="1"/>
        <x:name val="Calibri"/>
        <x:family val="2"/>
        <x:scheme val="none"/>
      </x:font>
    </x:dxf>
    <x:dxf>
      <x:font>
        <x:u val="none"/>
        <x:sz val="11"/>
        <x:color theme="1"/>
        <x:name val="Calibri"/>
        <x:family val="2"/>
        <x:scheme val="none"/>
      </x:font>
    </x:dxf>
    <x:dxf>
      <x:font>
        <x:u val="none"/>
        <x:sz val="11"/>
        <x:color theme="1"/>
        <x:name val="Calibri"/>
        <x:family val="2"/>
        <x:scheme val="none"/>
      </x:font>
    </x:dxf>
    <x:dxf>
      <x:font>
        <x:u val="none"/>
        <x:sz val="11"/>
        <x:color theme="1"/>
        <x:name val="Aptos Narrow"/>
        <x:scheme val="none"/>
      </x:font>
      <x:border>
        <x:left style="thin">
          <x:color theme="4"/>
        </x:left>
        <x:right/>
        <x:top style="thin">
          <x:color theme="4"/>
        </x:top>
        <x:bottom style="thin">
          <x:color theme="4"/>
        </x:bottom>
      </x:border>
    </x:dxf>
    <x:dxf>
      <x:font>
        <x:u val="none"/>
        <x:sz val="11"/>
        <x:color theme="1"/>
        <x:name val="Aptos Narrow"/>
        <x:scheme val="none"/>
      </x:font>
      <x:border>
        <x:left style="thin">
          <x:color theme="4"/>
        </x:left>
        <x:right style="thin">
          <x:color theme="4"/>
        </x:right>
        <x:top style="thin">
          <x:color theme="4"/>
        </x:top>
        <x:bottom style="thin">
          <x:color theme="4"/>
        </x:bottom>
      </x:border>
    </x:dxf>
    <x:dxf>
      <x:font>
        <x:u val="none"/>
        <x:sz val="11"/>
        <x:color theme="1"/>
        <x:name val="Aptos Narrow"/>
        <x:scheme val="none"/>
      </x:font>
      <x:border>
        <x:left style="thin">
          <x:color theme="4"/>
        </x:left>
        <x:right style="thin">
          <x:color theme="4"/>
        </x:right>
        <x:top style="thin">
          <x:color theme="4"/>
        </x:top>
        <x:bottom style="thin">
          <x:color theme="4"/>
        </x:bottom>
      </x:border>
    </x:dxf>
    <x:dxf>
      <x:font>
        <x:u val="none"/>
        <x:sz val="11"/>
        <x:color theme="1"/>
        <x:name val="Aptos Narrow"/>
        <x:scheme val="none"/>
      </x:font>
      <x:border>
        <x:left style="thin">
          <x:color theme="4"/>
        </x:left>
        <x:right style="thin">
          <x:color theme="4"/>
        </x:right>
        <x:top style="thin">
          <x:color theme="4"/>
        </x:top>
        <x:bottom style="thin">
          <x:color theme="4"/>
        </x:bottom>
      </x:border>
    </x:dxf>
    <x:dxf>
      <x:font>
        <x:u val="none"/>
        <x:sz val="11"/>
        <x:color theme="1"/>
        <x:name val="Aptos Narrow"/>
        <x:scheme val="none"/>
      </x:font>
      <x:border>
        <x:left style="thin">
          <x:color theme="4"/>
        </x:left>
        <x:right style="thin">
          <x:color theme="4"/>
        </x:right>
        <x:top style="thin">
          <x:color theme="4"/>
        </x:top>
        <x:bottom style="thin">
          <x:color theme="4"/>
        </x:bottom>
      </x:border>
    </x:dxf>
    <x:dxf>
      <x:font>
        <x:u val="none"/>
        <x:sz val="11"/>
        <x:color theme="1"/>
        <x:name val="Aptos Narrow"/>
        <x:scheme val="none"/>
      </x:font>
      <x:border>
        <x:left style="thin">
          <x:color theme="4"/>
        </x:left>
        <x:right style="thin">
          <x:color theme="4"/>
        </x:right>
        <x:top style="thin">
          <x:color theme="4"/>
        </x:top>
        <x:bottom style="thin">
          <x:color theme="4"/>
        </x:bottom>
      </x:border>
    </x:dxf>
    <x:dxf>
      <x:font>
        <x:u val="none"/>
        <x:sz val="11"/>
        <x:color theme="1"/>
        <x:name val="Aptos Narrow"/>
        <x:scheme val="none"/>
      </x:font>
      <x:border>
        <x:left style="thin">
          <x:color theme="4"/>
        </x:left>
        <x:right style="thin">
          <x:color theme="4"/>
        </x:right>
        <x:top style="thin">
          <x:color theme="4"/>
        </x:top>
        <x:bottom style="thin">
          <x:color theme="4"/>
        </x:bottom>
      </x:border>
    </x:dxf>
    <x:dxf>
      <x:font>
        <x:u val="none"/>
        <x:sz val="11"/>
        <x:color theme="1"/>
        <x:name val="Aptos Narrow"/>
        <x:scheme val="none"/>
      </x:font>
      <x:border>
        <x:left/>
        <x:right style="thin">
          <x:color theme="4"/>
        </x:right>
        <x:top style="thin">
          <x:color theme="4"/>
        </x:top>
        <x:bottom style="thin">
          <x:color theme="4"/>
        </x:bottom>
      </x:border>
    </x:dxf>
    <x:dxf>
      <x:font>
        <x:u val="none"/>
        <x:sz val="11"/>
        <x:color theme="1"/>
        <x:name val="Aptos Narrow"/>
        <x:scheme val="none"/>
      </x:font>
    </x:dxf>
    <x:dxf>
      <x:border>
        <x:bottom style="medium">
          <x:color theme="4"/>
        </x:bottom>
      </x:border>
    </x:dxf>
    <x:dxf>
      <x:font>
        <x:u val="none"/>
        <x:sz val="11"/>
        <x:color theme="1"/>
        <x:name val="Aptos Narrow"/>
        <x:scheme val="none"/>
      </x:font>
    </x:dxf>
    <x:dxf>
      <x:font>
        <x:u val="none"/>
        <x:sz val="11"/>
        <x:color theme="1"/>
        <x:name val="Aptos Narrow"/>
        <x:scheme val="none"/>
      </x:font>
    </x:dxf>
    <x:dxf>
      <x:font>
        <x:u val="none"/>
        <x:sz val="11"/>
        <x:color theme="1"/>
        <x:name val="Aptos Narrow"/>
        <x:scheme val="none"/>
      </x:font>
    </x:dxf>
    <x:dxf>
      <x:font>
        <x:u val="none"/>
        <x:sz val="11"/>
        <x:color theme="1"/>
        <x:name val="Aptos Narrow"/>
        <x:scheme val="none"/>
      </x:font>
    </x:dxf>
    <x:dxf>
      <x:font>
        <x:color rgb="FFFFFFFF"/>
      </x:font>
      <x:fill>
        <x:patternFill>
          <x:bgColor rgb="FFFFFF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e0f8f0215b4a3c" /><Relationship Type="http://schemas.openxmlformats.org/officeDocument/2006/relationships/theme" Target="/xl/theme/theme1.xml" Id="R56402e7e7d5444e7" /><Relationship Type="http://schemas.openxmlformats.org/officeDocument/2006/relationships/sharedStrings" Target="/xl/sharedStrings.xml" Id="R58b3f9da76d44861" /><Relationship Type="http://schemas.openxmlformats.org/officeDocument/2006/relationships/worksheet" Target="/xl/worksheets/sheet1.xml" Id="R0e643185238a40bc" /><Relationship Type="http://schemas.openxmlformats.org/officeDocument/2006/relationships/worksheet" Target="/xl/worksheets/sheet2.xml" Id="R8145919f80fe45e1" /><Relationship Type="http://schemas.openxmlformats.org/officeDocument/2006/relationships/worksheet" Target="/xl/worksheets/sheet3.xml" Id="R23105389e96740d9" /><Relationship Type="http://schemas.openxmlformats.org/officeDocument/2006/relationships/worksheet" Target="/xl/worksheets/sheet4.xml" Id="R1c2a1337682a4333" /><Relationship Type="http://schemas.openxmlformats.org/officeDocument/2006/relationships/worksheet" Target="/xl/worksheets/sheet5.xml" Id="R1e1ea7a0079349fe" /><Relationship Type="http://schemas.openxmlformats.org/officeDocument/2006/relationships/worksheet" Target="/xl/worksheets/sheet6.xml" Id="R8adcc37915604df9" /><Relationship Type="http://schemas.openxmlformats.org/officeDocument/2006/relationships/worksheet" Target="/xl/worksheets/sheet7.xml" Id="R65720d139bb34efd" /><Relationship Type="http://schemas.openxmlformats.org/officeDocument/2006/relationships/worksheet" Target="/xl/worksheets/sheet8.xml" Id="R18d14ca24c874e89" /><Relationship Type="http://schemas.openxmlformats.org/officeDocument/2006/relationships/worksheet" Target="/xl/worksheets/sheet9.xml" Id="R75c7f45030a04fa0" /><Relationship Type="http://schemas.openxmlformats.org/officeDocument/2006/relationships/worksheet" Target="/xl/worksheets/sheet10.xml" Id="Rbad6047f4a7644d5" /><Relationship Type="http://schemas.openxmlformats.org/officeDocument/2006/relationships/worksheet" Target="/xl/worksheets/sheet11.xml" Id="R495ce09b607a4e60" /><Relationship Type="http://schemas.openxmlformats.org/officeDocument/2006/relationships/worksheet" Target="/xl/worksheets/sheet12.xml" Id="R26ae3e0f5348446c" /><Relationship Type="http://schemas.openxmlformats.org/officeDocument/2006/relationships/worksheet" Target="/xl/worksheets/sheet13.xml" Id="R38c630b8c4ba4908" /><Relationship Type="http://schemas.openxmlformats.org/officeDocument/2006/relationships/worksheet" Target="/xl/worksheets/sheet14.xml" Id="R96bc31abb58e4dc0" /><Relationship Type="http://schemas.openxmlformats.org/officeDocument/2006/relationships/worksheet" Target="/xl/worksheets/sheet15.xml" Id="R62fa8ca72679427c" /><Relationship Type="http://schemas.openxmlformats.org/officeDocument/2006/relationships/worksheet" Target="/xl/worksheets/sheet16.xml" Id="Rea3bda5753cd4049" /><Relationship Type="http://schemas.openxmlformats.org/officeDocument/2006/relationships/worksheet" Target="/xl/worksheets/sheet17.xml" Id="R3edfe93daf2646b4" /><Relationship Type="http://schemas.openxmlformats.org/officeDocument/2006/relationships/worksheet" Target="/xl/worksheets/sheet18.xml" Id="R7b2c95c4dcc94659" /><Relationship Type="http://schemas.openxmlformats.org/officeDocument/2006/relationships/worksheet" Target="/xl/worksheets/sheet19.xml" Id="R6d9ea98db3364e20" /><Relationship Type="http://schemas.openxmlformats.org/officeDocument/2006/relationships/worksheet" Target="/xl/worksheets/sheet20.xml" Id="R189f63de55fd48af" /><Relationship Type="http://schemas.openxmlformats.org/officeDocument/2006/relationships/worksheet" Target="/xl/worksheets/sheet21.xml" Id="R2158cc8f65154f72" /><Relationship Type="http://schemas.openxmlformats.org/officeDocument/2006/relationships/worksheet" Target="/xl/worksheets/sheet22.xml" Id="R99b1143fd7614104" /><Relationship Type="http://schemas.openxmlformats.org/officeDocument/2006/relationships/worksheet" Target="/xl/worksheets/sheet23.xml" Id="R020758721e494d15" /><Relationship Type="http://schemas.openxmlformats.org/officeDocument/2006/relationships/worksheet" Target="/xl/worksheets/sheet24.xml" Id="R4e2b624bd799420b" /><Relationship Type="http://schemas.openxmlformats.org/officeDocument/2006/relationships/worksheet" Target="/xl/worksheets/sheet25.xml" Id="Rdbeebbf913114095" /></Relationships>
</file>

<file path=xl/tables/table1.xml><?xml version="1.0" encoding="utf-8"?>
<x:table xmlns:x="http://schemas.openxmlformats.org/spreadsheetml/2006/main" id="72" name="ForceBuilderResults" displayName="ForceBuilderResults" ref="A19:H26" headerRowCount="1" totalsRowCount="0" totalsRowShown="0">
  <x:tableColumns count="8">
    <x:tableColumn id="1" name="Slot"/>
    <x:tableColumn id="2" name="Component"/>
    <x:tableColumn id="3" name="Qty"/>
    <x:tableColumn id="4" name="Organization"/>
    <x:tableColumn id="5" name="Weight / Designation"/>
    <x:tableColumn id="6" name="Formation Source"/>
    <x:tableColumn id="7" name="RAT Route"/>
    <x:tableColumn id="8" name="Status"/>
  </x:tableColumns>
  <x:tableStyleInfo name="TableStyleMedium4" showFirstColumn="0" showLastColumn="0" showRowStripes="1" showColumnStripes="0"/>
</x:table>
</file>

<file path=xl/tables/table2.xml><?xml version="1.0" encoding="utf-8"?>
<x:table xmlns:x="http://schemas.openxmlformats.org/spreadsheetml/2006/main" id="80" name="ForceBuilderRollLog" displayName="ForceBuilderRollLog" ref="A29:H33" headerRowCount="1" totalsRowCount="0" totalsRowShown="0">
  <x:tableColumns count="8">
    <x:tableColumn id="1" name="Roll Step"/>
    <x:tableColumn id="2" name="Purpose"/>
    <x:tableColumn id="3" name="Manual d6"/>
    <x:tableColumn id="4" name="Used d6"/>
    <x:tableColumn id="5" name="Result"/>
    <x:tableColumn id="6" name="Rule Source"/>
    <x:tableColumn id="7" name="Required?"/>
    <x:tableColumn id="8" name="Notes"/>
  </x:tableColumns>
  <x:tableStyleInfo name="TableStyleMedium4" showFirstColumn="0" showLastColumn="0" showRowStripes="1" showColumnStripes="0"/>
</x:table>
</file>

<file path=xl/tables/table3.xml><?xml version="1.0" encoding="utf-8"?>
<x:table xmlns:x="http://schemas.openxmlformats.org/spreadsheetml/2006/main" id="1" name="ClanLightFrontLineBattleStar" displayName="ClanLightFrontLineBattleStar" ref="A2:H13"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7" showFirstColumn="0" showLastColumn="0" showRowStripes="1" showColumnStripes="0"/>
</x:table>
</file>

<file path=xl/tables/table4.xml><?xml version="1.0" encoding="utf-8"?>
<x:table xmlns:x="http://schemas.openxmlformats.org/spreadsheetml/2006/main" id="2" name="ClanLightFrontLineFireStar" displayName="ClanLightFrontLineFireStar" ref="A16:H27"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7" showFirstColumn="0" showLastColumn="0" showRowStripes="1" showColumnStripes="0"/>
</x:table>
</file>

<file path=xl/tables/table5.xml><?xml version="1.0" encoding="utf-8"?>
<x:table xmlns:x="http://schemas.openxmlformats.org/spreadsheetml/2006/main" id="3" name="ClanLightFrontLineStrikerStar" displayName="ClanLightFrontLineStrikerStar" ref="A30:H41"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7" showFirstColumn="0" showLastColumn="0" showRowStripes="1" showColumnStripes="0"/>
</x:table>
</file>

<file path=xl/tables/table6.xml><?xml version="1.0" encoding="utf-8"?>
<x:table xmlns:x="http://schemas.openxmlformats.org/spreadsheetml/2006/main" id="4" name="ClanLightSecondLineBattleStar" displayName="ClanLightSecondLineBattleStar" ref="A45:H51" totalsRowShown="0">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7" showFirstColumn="0" showLastColumn="0" showRowStripes="1" showColumnStripes="0"/>
</x:table>
</file>

<file path=xl/tables/table7.xml><?xml version="1.0" encoding="utf-8"?>
<x:table xmlns:x="http://schemas.openxmlformats.org/spreadsheetml/2006/main" id="5" name="ClanLightSecondLineFireStar" displayName="ClanLightSecondLineFireStar" ref="A54:H60" totalsRowShown="0">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7" showFirstColumn="0" showLastColumn="0" showRowStripes="1" showColumnStripes="0"/>
</x:table>
</file>

<file path=xl/tables/table8.xml><?xml version="1.0" encoding="utf-8"?>
<x:table xmlns:x="http://schemas.openxmlformats.org/spreadsheetml/2006/main" id="6" name="ClanLightSecondLineStrikerStar" displayName="ClanLightSecondLineStrikerStar" ref="A63:H69" totalsRowShown="0">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7" showFirstColumn="0" showLastColumn="0" showRowStripes="1" showColumnStripes="0"/>
</x:table>
</file>

<file path=xl/tables/table9.xml><?xml version="1.0" encoding="utf-8"?>
<x:table xmlns:x="http://schemas.openxmlformats.org/spreadsheetml/2006/main" id="7" name="ClanMediumAssaultStar" displayName="ClanMediumAssaultStar" ref="A2:H13"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9" showFirstColumn="0" showLastColumn="0" showRowStripes="1" showColumnStripes="0"/>
</x:table>
</file>

<file path=xl/tables/table10.xml><?xml version="1.0" encoding="utf-8"?>
<x:table xmlns:x="http://schemas.openxmlformats.org/spreadsheetml/2006/main" id="8" name="ClanMediumBattleStar" displayName="ClanMediumBattleStar" ref="A16:H27"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9" showFirstColumn="0" showLastColumn="0" showRowStripes="1" showColumnStripes="0"/>
</x:table>
</file>

<file path=xl/tables/table11.xml><?xml version="1.0" encoding="utf-8"?>
<x:table xmlns:x="http://schemas.openxmlformats.org/spreadsheetml/2006/main" id="9" name="ClanMediumFireStar" displayName="ClanMediumFireStar" ref="A30:H41"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9" showFirstColumn="0" showLastColumn="0" showRowStripes="1" showColumnStripes="0"/>
</x:table>
</file>

<file path=xl/tables/table12.xml><?xml version="1.0" encoding="utf-8"?>
<x:table xmlns:x="http://schemas.openxmlformats.org/spreadsheetml/2006/main" id="10" name="ClanMediumStrikerStar" displayName="ClanMediumStrikerStar" ref="A44:H55"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9" showFirstColumn="0" showLastColumn="0" showRowStripes="1" showColumnStripes="0"/>
</x:table>
</file>

<file path=xl/tables/table13.xml><?xml version="1.0" encoding="utf-8"?>
<x:table xmlns:x="http://schemas.openxmlformats.org/spreadsheetml/2006/main" id="24" name="Table24" displayName="Table24" ref="A68:H74" totalsRowShown="0">
  <x:autoFilter ref="A68:H74">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6" showFirstColumn="0" showLastColumn="0" showRowStripes="1" showColumnStripes="0"/>
</x:table>
</file>

<file path=xl/tables/table14.xml><?xml version="1.0" encoding="utf-8"?>
<x:table xmlns:x="http://schemas.openxmlformats.org/spreadsheetml/2006/main" id="43" name="Table43" displayName="Table43" ref="A59:H65" totalsRowShown="0" dataDxfId="18" headerRowBorderDxfId="19">
  <x:autoFilter ref="A59:H65">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dataDxfId="17"/>
    <x:tableColumn id="2" name="Clan Diamond Shark" dataDxfId="16"/>
    <x:tableColumn id="3" name="Clan Ghost Bear" dataDxfId="15"/>
    <x:tableColumn id="4" name="Jade Falcon" dataDxfId="14"/>
    <x:tableColumn id="5" name="Clan Nova Cat" dataDxfId="13"/>
    <x:tableColumn id="6" name="Clan Smoke Jaguar" dataDxfId="12"/>
    <x:tableColumn id="7" name="Clan Steel Viper" dataDxfId="11"/>
    <x:tableColumn id="8" name="Wolf" dataDxfId="10"/>
  </x:tableColumns>
  <x:tableStyleInfo name="TableStyleLight19" showFirstColumn="0" showLastColumn="0" showRowStripes="1" showColumnStripes="0"/>
</x:table>
</file>

<file path=xl/tables/table15.xml><?xml version="1.0" encoding="utf-8"?>
<x:table xmlns:x="http://schemas.openxmlformats.org/spreadsheetml/2006/main" id="11" name="ClanHeavyStrikerStar" displayName="ClanHeavyStrikerStar" ref="A46:H57"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6" showFirstColumn="0" showLastColumn="0" showRowStripes="1" showColumnStripes="0"/>
</x:table>
</file>

<file path=xl/tables/table16.xml><?xml version="1.0" encoding="utf-8"?>
<x:table xmlns:x="http://schemas.openxmlformats.org/spreadsheetml/2006/main" id="12" name="ClanHeavyBattleStar" displayName="ClanHeavyBattleStar" ref="A17:H28"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6" showFirstColumn="0" showLastColumn="0" showRowStripes="1" showColumnStripes="0"/>
</x:table>
</file>

<file path=xl/tables/table17.xml><?xml version="1.0" encoding="utf-8"?>
<x:table xmlns:x="http://schemas.openxmlformats.org/spreadsheetml/2006/main" id="13" name="ClanHeavyAssaultStar" displayName="ClanHeavyAssaultStar" ref="A2:H13"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6" showFirstColumn="0" showLastColumn="0" showRowStripes="1" showColumnStripes="0"/>
</x:table>
</file>

<file path=xl/tables/table18.xml><?xml version="1.0" encoding="utf-8"?>
<x:table xmlns:x="http://schemas.openxmlformats.org/spreadsheetml/2006/main" id="14" name="ClanHeavyFireStar" displayName="ClanHeavyFireStar" ref="A31:H42"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16" showFirstColumn="0" showLastColumn="0" showRowStripes="1" showColumnStripes="0"/>
</x:table>
</file>

<file path=xl/tables/table19.xml><?xml version="1.0" encoding="utf-8"?>
<x:table xmlns:x="http://schemas.openxmlformats.org/spreadsheetml/2006/main" id="42" name="Table42" displayName="Table42" ref="A61:H67" totalsRowShown="0">
  <x:autoFilter ref="A61:H67">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6" showFirstColumn="0" showLastColumn="0" showRowStripes="1" showColumnStripes="0"/>
</x:table>
</file>

<file path=xl/tables/table20.xml><?xml version="1.0" encoding="utf-8"?>
<x:table xmlns:x="http://schemas.openxmlformats.org/spreadsheetml/2006/main" id="44" name="Table4245" displayName="Table4245" ref="A70:H76" totalsRowShown="0">
  <x:autoFilter ref="A70:H76">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6" showFirstColumn="0" showLastColumn="0" showRowStripes="1" showColumnStripes="0"/>
</x:table>
</file>

<file path=xl/tables/table21.xml><?xml version="1.0" encoding="utf-8"?>
<x:table xmlns:x="http://schemas.openxmlformats.org/spreadsheetml/2006/main" id="45" name="Table424546" displayName="Table424546" ref="A79:H85" totalsRowShown="0">
  <x:autoFilter ref="A79:H85">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6" showFirstColumn="0" showLastColumn="0" showRowStripes="1" showColumnStripes="0"/>
</x:table>
</file>

<file path=xl/tables/table22.xml><?xml version="1.0" encoding="utf-8"?>
<x:table xmlns:x="http://schemas.openxmlformats.org/spreadsheetml/2006/main" id="46" name="Table42454647" displayName="Table42454647" ref="A88:H94" totalsRowShown="0">
  <x:autoFilter ref="A88:H94">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16" showFirstColumn="0" showLastColumn="0" showRowStripes="1" showColumnStripes="0"/>
</x:table>
</file>

<file path=xl/tables/table23.xml><?xml version="1.0" encoding="utf-8"?>
<x:table xmlns:x="http://schemas.openxmlformats.org/spreadsheetml/2006/main" id="15" name="ClanAssaultAssaultStar" displayName="ClanAssaultAssaultStar" ref="A2:H13"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20" showFirstColumn="0" showLastColumn="0" showRowStripes="1" showColumnStripes="0"/>
</x:table>
</file>

<file path=xl/tables/table24.xml><?xml version="1.0" encoding="utf-8"?>
<x:table xmlns:x="http://schemas.openxmlformats.org/spreadsheetml/2006/main" id="16" name="ClanAssaultBattleStar" displayName="ClanAssaultBattleStar" ref="A16:H27"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20" showFirstColumn="0" showLastColumn="0" showRowStripes="1" showColumnStripes="0"/>
</x:table>
</file>

<file path=xl/tables/table25.xml><?xml version="1.0" encoding="utf-8"?>
<x:table xmlns:x="http://schemas.openxmlformats.org/spreadsheetml/2006/main" id="17" name="ClanAssaultFireStar" displayName="ClanAssaultFireStar" ref="A30:H41"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20" showFirstColumn="0" showLastColumn="0" showRowStripes="1" showColumnStripes="0"/>
</x:table>
</file>

<file path=xl/tables/table26.xml><?xml version="1.0" encoding="utf-8"?>
<x:table xmlns:x="http://schemas.openxmlformats.org/spreadsheetml/2006/main" id="18" name="ClanAssaultStrikerStar" displayName="ClanAssaultStrikerStar" ref="A44:H55" totalsRowShown="0">
  <x:tableColumns count="8">
    <x:tableColumn id="1" name="2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Medium20" showFirstColumn="0" showLastColumn="0" showRowStripes="1" showColumnStripes="0"/>
</x:table>
</file>

<file path=xl/tables/table27.xml><?xml version="1.0" encoding="utf-8"?>
<x:table xmlns:x="http://schemas.openxmlformats.org/spreadsheetml/2006/main" id="47" name="Table4248" displayName="Table4248" ref="A59:H65" totalsRowShown="0">
  <x:autoFilter ref="A59:H65">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20" showFirstColumn="0" showLastColumn="0" showRowStripes="1" showColumnStripes="0"/>
</x:table>
</file>

<file path=xl/tables/table28.xml><?xml version="1.0" encoding="utf-8"?>
<x:table xmlns:x="http://schemas.openxmlformats.org/spreadsheetml/2006/main" id="48" name="Table424549" displayName="Table424549" ref="A68:H74" totalsRowShown="0">
  <x:autoFilter ref="A68:H74">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20" showFirstColumn="0" showLastColumn="0" showRowStripes="1" showColumnStripes="0"/>
</x:table>
</file>

<file path=xl/tables/table29.xml><?xml version="1.0" encoding="utf-8"?>
<x:table xmlns:x="http://schemas.openxmlformats.org/spreadsheetml/2006/main" id="49" name="Table42454650" displayName="Table42454650" ref="A77:H83" totalsRowShown="0">
  <x:autoFilter ref="A77:H83">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20" showFirstColumn="0" showLastColumn="0" showRowStripes="1" showColumnStripes="0"/>
</x:table>
</file>

<file path=xl/tables/table30.xml><?xml version="1.0" encoding="utf-8"?>
<x:table xmlns:x="http://schemas.openxmlformats.org/spreadsheetml/2006/main" id="50" name="Table4245464751" displayName="Table4245464751" ref="A86:H92" totalsRowShown="0">
  <x:autoFilter ref="A86:H92">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autoFilter>
  <x:tableColumns count="8">
    <x:tableColumn id="1" name="1d6"/>
    <x:tableColumn id="2" name="Clan Diamond Shark"/>
    <x:tableColumn id="3" name="Clan Ghost Bear"/>
    <x:tableColumn id="4" name="Jade Falcon"/>
    <x:tableColumn id="5" name="Clan Nova Cat"/>
    <x:tableColumn id="6" name="Clan Smoke Jaguar"/>
    <x:tableColumn id="7" name="Clan Steel Viper"/>
    <x:tableColumn id="8" name="Wolf"/>
  </x:tableColumns>
  <x:tableStyleInfo name="TableStyleLight20" showFirstColumn="0" showLastColumn="0" showRowStripes="1" showColumnStripes="0"/>
</x:table>
</file>

<file path=xl/tables/table31.xml><?xml version="1.0" encoding="utf-8"?>
<x:table xmlns:x="http://schemas.openxmlformats.org/spreadsheetml/2006/main" id="19" name="TrinaryLight" displayName="TrinaryLight" ref="A2:D8" totalsRowShown="0">
  <x:tableColumns count="4">
    <x:tableColumn id="1" name="1d6"/>
    <x:tableColumn id="2" name="Alpha Star"/>
    <x:tableColumn id="3" name="Bravo Star"/>
    <x:tableColumn id="4" name="Charlie Star"/>
  </x:tableColumns>
  <x:tableStyleInfo name="TableStyleDark8" showFirstColumn="0" showLastColumn="0" showRowStripes="1" showColumnStripes="0"/>
</x:table>
</file>

<file path=xl/tables/table32.xml><?xml version="1.0" encoding="utf-8"?>
<x:table xmlns:x="http://schemas.openxmlformats.org/spreadsheetml/2006/main" id="20" name="TrinaryMedium" displayName="TrinaryMedium" ref="A10:D16" totalsRowShown="0">
  <x:tableColumns count="4">
    <x:tableColumn id="1" name="1d6"/>
    <x:tableColumn id="2" name="Alpha Star"/>
    <x:tableColumn id="3" name="Bravo Star"/>
    <x:tableColumn id="4" name="Charlie Star"/>
  </x:tableColumns>
  <x:tableStyleInfo name="TableStyleDark8" showFirstColumn="0" showLastColumn="0" showRowStripes="1" showColumnStripes="0"/>
</x:table>
</file>

<file path=xl/tables/table33.xml><?xml version="1.0" encoding="utf-8"?>
<x:table xmlns:x="http://schemas.openxmlformats.org/spreadsheetml/2006/main" id="21" name="TrinaryHeavy" displayName="TrinaryHeavy" ref="F2:I8" totalsRowShown="0">
  <x:tableColumns count="4">
    <x:tableColumn id="1" name="1d6"/>
    <x:tableColumn id="2" name="Alpha Star"/>
    <x:tableColumn id="3" name="Bravo Star"/>
    <x:tableColumn id="4" name="Charlie Star"/>
  </x:tableColumns>
  <x:tableStyleInfo name="TableStyleDark8" showFirstColumn="0" showLastColumn="0" showRowStripes="1" showColumnStripes="0"/>
</x:table>
</file>

<file path=xl/tables/table34.xml><?xml version="1.0" encoding="utf-8"?>
<x:table xmlns:x="http://schemas.openxmlformats.org/spreadsheetml/2006/main" id="22" name="TrinaryAssault" displayName="TrinaryAssault" ref="F10:I16" totalsRowShown="0">
  <x:tableColumns count="4">
    <x:tableColumn id="1" name="1d6"/>
    <x:tableColumn id="2" name="Alpha Star"/>
    <x:tableColumn id="3" name="Bravo Star"/>
    <x:tableColumn id="4" name="Charlie Star"/>
  </x:tableColumns>
  <x:tableStyleInfo name="TableStyleDark8" showFirstColumn="0" showLastColumn="0" showRowStripes="1" showColumnStripes="0"/>
</x:table>
</file>

<file path=xl/tables/table35.xml><?xml version="1.0" encoding="utf-8"?>
<x:table xmlns:x="http://schemas.openxmlformats.org/spreadsheetml/2006/main" id="23" name="StarFormation" displayName="StarFormation" ref="A19:E25" totalsRowShown="0">
  <x:tableColumns count="5">
    <x:tableColumn id="1" name="1d6"/>
    <x:tableColumn id="2" name="Light Star"/>
    <x:tableColumn id="3" name="Medium Star"/>
    <x:tableColumn id="4" name="Heavy Star"/>
    <x:tableColumn id="5" name="Assault Star"/>
  </x:tableColumns>
  <x:tableStyleInfo name="TableStyleDark8" showFirstColumn="0" showLastColumn="0" showRowStripes="1" showColumnStripes="0"/>
</x:table>
</file>

<file path=xl/tables/table36.xml><?xml version="1.0" encoding="utf-8"?>
<x:table xmlns:x="http://schemas.openxmlformats.org/spreadsheetml/2006/main" id="29" name="ForceSizeTable" displayName="ForceSizeTable" ref="L2:R5" totalsRowShown="0">
  <x:tableColumns count="7">
    <x:tableColumn id="1" name="Expected Track Force Size"/>
    <x:tableColumn id="2" name="Force Points"/>
    <x:tableColumn id="3" name="Battle Value (BV)"/>
    <x:tableColumn id="4" name="Point Value (PV)"/>
    <x:tableColumn id="5" name="Clan Base BSP"/>
    <x:tableColumn id="6" name="ComStar Base BSP"/>
    <x:tableColumn id="7" name="Max Additional BSP"/>
  </x:tableColumns>
  <x:tableStyleInfo name="TableStyleMedium16" showFirstColumn="0" showLastColumn="0" showRowStripes="1" showColumnStripes="0"/>
</x:table>
</file>

<file path=xl/tables/table37.xml><?xml version="1.0" encoding="utf-8"?>
<x:table xmlns:x="http://schemas.openxmlformats.org/spreadsheetml/2006/main" id="81" name="ClanForceOrganization" displayName="ClanForceOrganization" ref="L10:N22" headerRowCount="1" totalsRowCount="0" totalsRowShown="0">
  <x:tableColumns count="3">
    <x:tableColumn id="1" name="Organization"/>
    <x:tableColumn id="2" name="Definition"/>
    <x:tableColumn id="3" name="Command Rank"/>
  </x:tableColumns>
  <x:tableStyleInfo name="TableStyleMedium4" showFirstColumn="0" showLastColumn="0" showRowStripes="1" showColumnStripes="0"/>
</x:table>
</file>

<file path=xl/tables/table38.xml><?xml version="1.0" encoding="utf-8"?>
<x:table xmlns:x="http://schemas.openxmlformats.org/spreadsheetml/2006/main" id="51" name="Table51" displayName="Table51" ref="A2:D13" totalsRowShown="0" dataDxfId="9">
  <x:autoFilter ref="A2:D13">
    <x:filterColumn colId="0" hiddenButton="1"/>
    <x:filterColumn colId="1" hiddenButton="1"/>
    <x:filterColumn colId="2" hiddenButton="1"/>
    <x:filterColumn colId="3" hiddenButton="1"/>
  </x:autoFilter>
  <x:tableColumns count="4">
    <x:tableColumn id="1" name="2d6"/>
    <x:tableColumn id="2" name="Battle Level II" dataDxfId="8"/>
    <x:tableColumn id="3" name="Fire Level II" dataDxfId="7"/>
    <x:tableColumn id="4" name="Striker Level II" dataDxfId="6"/>
  </x:tableColumns>
  <x:tableStyleInfo name="TableStyleLight8" showFirstColumn="0" showLastColumn="0" showRowStripes="1" showColumnStripes="0"/>
</x:table>
</file>

<file path=xl/tables/table39.xml><?xml version="1.0" encoding="utf-8"?>
<x:table xmlns:x="http://schemas.openxmlformats.org/spreadsheetml/2006/main" id="52" name="Table5153" displayName="Table5153" ref="A16:E27" totalsRowShown="0" dataDxfId="5">
  <x:autoFilter ref="A16:E27"/>
  <x:tableColumns count="5">
    <x:tableColumn id="1" name="2d6"/>
    <x:tableColumn id="2" name="Assault Level II"/>
    <x:tableColumn id="3" name="Battle Level II"/>
    <x:tableColumn id="4" name="Fire Level II"/>
    <x:tableColumn id="5" name="Striker Level II"/>
  </x:tableColumns>
  <x:tableStyleInfo name="TableStyleLight8" showFirstColumn="0" showLastColumn="0" showRowStripes="1" showColumnStripes="0"/>
</x:table>
</file>

<file path=xl/tables/table40.xml><?xml version="1.0" encoding="utf-8"?>
<x:table xmlns:x="http://schemas.openxmlformats.org/spreadsheetml/2006/main" id="53" name="Table515354" displayName="Table515354" ref="A30:E41" totalsRowShown="0" dataDxfId="4">
  <x:autoFilter ref="A30:E41"/>
  <x:tableColumns count="5">
    <x:tableColumn id="1" name="2d6"/>
    <x:tableColumn id="2" name="Assault Level II"/>
    <x:tableColumn id="3" name="Battle Level II"/>
    <x:tableColumn id="4" name="Fire Level II"/>
    <x:tableColumn id="5" name="Striker Level II"/>
  </x:tableColumns>
  <x:tableStyleInfo name="TableStyleLight8" showFirstColumn="0" showLastColumn="0" showRowStripes="1" showColumnStripes="0"/>
</x:table>
</file>

<file path=xl/tables/table41.xml><?xml version="1.0" encoding="utf-8"?>
<x:table xmlns:x="http://schemas.openxmlformats.org/spreadsheetml/2006/main" id="54" name="Table51535455" displayName="Table51535455" ref="A44:E55" totalsRowShown="0" dataDxfId="3">
  <x:autoFilter ref="A44:E55"/>
  <x:tableColumns count="5">
    <x:tableColumn id="1" name="2d6"/>
    <x:tableColumn id="2" name="Assault Level II"/>
    <x:tableColumn id="3" name="Battle Level II"/>
    <x:tableColumn id="4" name="Fire Level II"/>
    <x:tableColumn id="5" name="Striker Level II"/>
  </x:tableColumns>
  <x:tableStyleInfo name="TableStyleLight8" showFirstColumn="0" showLastColumn="0" showRowStripes="1" showColumnStripes="0"/>
</x:table>
</file>

<file path=xl/tables/table42.xml><?xml version="1.0" encoding="utf-8"?>
<x:table xmlns:x="http://schemas.openxmlformats.org/spreadsheetml/2006/main" id="25" name="CSOrg" displayName="CSOrg" ref="E4:G13" totalsRowShown="0">
  <x:tableColumns count="3">
    <x:tableColumn id="1" name="Organization"/>
    <x:tableColumn id="2" name="Definition"/>
    <x:tableColumn id="3" name="Command Rank"/>
  </x:tableColumns>
  <x:tableStyleInfo name="TableStyleMedium1" showFirstColumn="0" showLastColumn="0" showRowStripes="1" showColumnStripes="0"/>
</x:table>
</file>

<file path=xl/tables/table43.xml><?xml version="1.0" encoding="utf-8"?>
<x:table xmlns:x="http://schemas.openxmlformats.org/spreadsheetml/2006/main" id="26" name="CGBranch" displayName="CGBranch" ref="B4:C8" totalsRowShown="0">
  <x:tableColumns count="2">
    <x:tableColumn id="1" name="Com Guards Branch"/>
    <x:tableColumn id="2" name="Designations"/>
  </x:tableColumns>
  <x:tableStyleInfo name="TableStyleMedium1" showFirstColumn="0" showLastColumn="0" showRowStripes="1" showColumnStripes="0"/>
</x:table>
</file>

<file path=xl/tables/table44.xml><?xml version="1.0" encoding="utf-8"?>
<x:table xmlns:x="http://schemas.openxmlformats.org/spreadsheetml/2006/main" id="27" name="CGUnit" displayName="CGUnit" ref="I4:M28" totalsRowShown="0">
  <x:tableColumns count="5">
    <x:tableColumn id="1" name="Level IV Designation"/>
    <x:tableColumn id="2" name="’Mech"/>
    <x:tableColumn id="3" name="Combat Vehicle"/>
    <x:tableColumn id="4" name="Infantry"/>
    <x:tableColumn id="5" name="Aerospace"/>
  </x:tableColumns>
  <x:tableStyleInfo name="TableStyleMedium1" showFirstColumn="0" showLastColumn="0" showRowStripes="1" showColumnStripes="0"/>
</x:table>
</file>

<file path=xl/tables/table45.xml><?xml version="1.0" encoding="utf-8"?>
<x:table xmlns:x="http://schemas.openxmlformats.org/spreadsheetml/2006/main" id="55" name="Table55" displayName="Table55" ref="O14:S20" totalsRowShown="0">
  <x:autoFilter ref="O14:S20">
    <x:filterColumn colId="0" hiddenButton="1"/>
    <x:filterColumn colId="1" hiddenButton="1"/>
    <x:filterColumn colId="2" hiddenButton="1"/>
    <x:filterColumn colId="3" hiddenButton="1"/>
    <x:filterColumn colId="4" hiddenButton="1"/>
  </x:autoFilter>
  <x:tableColumns count="5">
    <x:tableColumn id="1" name="1D6"/>
    <x:tableColumn id="2" name="Light Level II"/>
    <x:tableColumn id="3" name="Medium Level II"/>
    <x:tableColumn id="4" name="Heavy Level II"/>
    <x:tableColumn id="5" name="Assault Level II"/>
  </x:tableColumns>
  <x:tableStyleInfo name="TableStyleMedium1" showFirstColumn="0" showLastColumn="0" showRowStripes="1" showColumnStripes="0"/>
</x:table>
</file>

<file path=xl/tables/table46.xml><?xml version="1.0" encoding="utf-8"?>
<x:table xmlns:x="http://schemas.openxmlformats.org/spreadsheetml/2006/main" id="56" name="Table56" displayName="Table56" ref="O5:P11" totalsRowShown="0">
  <x:autoFilter ref="O5:P11">
    <x:filterColumn colId="0" hiddenButton="1"/>
    <x:filterColumn colId="1" hiddenButton="1"/>
  </x:autoFilter>
  <x:tableColumns count="2">
    <x:tableColumn id="1" name="1D6" dataDxfId="2"/>
    <x:tableColumn id="2" name="Weight"/>
  </x:tableColumns>
  <x:tableStyleInfo name="TableStyleMedium1" showFirstColumn="0" showLastColumn="0" showRowStripes="1" showColumnStripes="0"/>
</x:table>
</file>

<file path=xl/tables/table47.xml><?xml version="1.0" encoding="utf-8"?>
<x:table xmlns:x="http://schemas.openxmlformats.org/spreadsheetml/2006/main" id="57" name="Table57" displayName="Table57" ref="O23:S29" totalsRowShown="0">
  <x:autoFilter ref="O23:S29">
    <x:filterColumn colId="0" hiddenButton="1"/>
    <x:filterColumn colId="1" hiddenButton="1"/>
    <x:filterColumn colId="2" hiddenButton="1"/>
    <x:filterColumn colId="3" hiddenButton="1"/>
    <x:filterColumn colId="4" hiddenButton="1"/>
  </x:autoFilter>
  <x:tableColumns count="5">
    <x:tableColumn id="1" name="1D6" dataDxfId="1"/>
    <x:tableColumn id="2" name="Light Level II"/>
    <x:tableColumn id="3" name="Medium Level II"/>
    <x:tableColumn id="4" name="Heavy Level II"/>
    <x:tableColumn id="5" name="Assault Level II"/>
  </x:tableColumns>
  <x:tableStyleInfo name="TableStyleMedium1" showFirstColumn="0" showLastColumn="0" showRowStripes="1" showColumnStripes="0"/>
</x:table>
</file>

<file path=xl/tables/table48.xml><?xml version="1.0" encoding="utf-8"?>
<x:table xmlns:x="http://schemas.openxmlformats.org/spreadsheetml/2006/main" id="28" name="Commands" displayName="Commands" ref="A1:O57" totalsRowShown="0">
  <x:tableColumns count="15">
    <x:tableColumn id="1" name="Combatant"/>
    <x:tableColumn id="2" name="Commander1"/>
    <x:tableColumn id="3" name="Special Command Abilities1"/>
    <x:tableColumn id="4" name="Force Building Rules1"/>
    <x:tableColumn id="5" name="Group"/>
    <x:tableColumn id="6" name="Commander2"/>
    <x:tableColumn id="7" name="Group Notes"/>
    <x:tableColumn id="8" name="Unit"/>
    <x:tableColumn id="9" name="Experience Rating"/>
    <x:tableColumn id="10" name="Equipment Level"/>
    <x:tableColumn id="11" name="Force Composition"/>
    <x:tableColumn id="12" name="Special Command Abilities2"/>
    <x:tableColumn id="13" name="Commander3"/>
    <x:tableColumn id="14" name="Unit Notes"/>
    <x:tableColumn id="15" name="Force Building Rules2"/>
  </x:tableColumns>
  <x:tableStyleInfo name="TableStyleLight1" showFirstColumn="0" showLastColumn="0" showRowStripes="1" showColumnStripes="0"/>
</x:table>
</file>

<file path=xl/tables/table49.xml><?xml version="1.0" encoding="utf-8"?>
<x:table xmlns:x="http://schemas.openxmlformats.org/spreadsheetml/2006/main" id="39" name="Table39" displayName="Table39" ref="A1:D29" totalsRowShown="0" dataDxfId="23">
  <x:autoFilter ref="A1:D29">
    <x:filterColumn colId="0" hiddenButton="1"/>
    <x:filterColumn colId="1" hiddenButton="1"/>
    <x:filterColumn colId="2" hiddenButton="1"/>
    <x:filterColumn colId="3" hiddenButton="1"/>
  </x:autoFilter>
  <x:tableColumns count="4">
    <x:tableColumn id="1" name="Clan" dataDxfId="22"/>
    <x:tableColumn id="2" name="Clan Galaxy" dataDxfId="21"/>
    <x:tableColumn id="3" name="ComStar Army" dataDxfId="20"/>
    <x:tableColumn id="4" name="ComStar Unit" dataDxfId="0"/>
  </x:tableColumns>
  <x:tableStyleInfo name="TableStyleMedium1" showFirstColumn="0" showLastColumn="0" showRowStripes="1" showColumnStripes="0"/>
</x:table>
</file>

<file path=xl/tables/table50.xml><?xml version="1.0" encoding="utf-8"?>
<x:table xmlns:x="http://schemas.openxmlformats.org/spreadsheetml/2006/main" id="30" name="ClanUnitCosts" displayName="ClanUnitCosts" ref="A2:D11" totalsRowShown="0">
  <x:tableColumns count="4">
    <x:tableColumn id="1" name="Clan Unit Type"/>
    <x:tableColumn id="2" name="Veteran"/>
    <x:tableColumn id="3" name="Elite"/>
    <x:tableColumn id="4" name="Heroic"/>
  </x:tableColumns>
  <x:tableStyleInfo name="TableStyleMedium4" showFirstColumn="0" showLastColumn="0" showRowStripes="1" showColumnStripes="0"/>
</x:table>
</file>

<file path=xl/tables/table51.xml><?xml version="1.0" encoding="utf-8"?>
<x:table xmlns:x="http://schemas.openxmlformats.org/spreadsheetml/2006/main" id="31" name="ComStarUnitCosts" displayName="ComStarUnitCosts" ref="F2:I6" totalsRowShown="0">
  <x:tableColumns count="4">
    <x:tableColumn id="1" name="ComStar Unit Type"/>
    <x:tableColumn id="2" name="Regular"/>
    <x:tableColumn id="3" name="Veteran"/>
    <x:tableColumn id="4" name="Elite"/>
  </x:tableColumns>
  <x:tableStyleInfo name="TableStyleMedium4" showFirstColumn="0" showLastColumn="0" showRowStripes="1" showColumnStripes="0"/>
</x:table>
</file>

<file path=xl/tables/table52.xml><?xml version="1.0" encoding="utf-8"?>
<x:table xmlns:x="http://schemas.openxmlformats.org/spreadsheetml/2006/main" id="32" name="BSPCosts" displayName="BSPCosts" ref="F10:G13" totalsRowShown="0">
  <x:tableColumns count="2">
    <x:tableColumn id="1" name="Cost Method"/>
    <x:tableColumn id="2" name="Cost per BSP"/>
  </x:tableColumns>
  <x:tableStyleInfo name="TableStyleMedium4" showFirstColumn="0" showLastColumn="0" showRowStripes="1" showColumnStripes="0"/>
</x:table>
</file>

<file path=xl/tables/table53.xml><?xml version="1.0" encoding="utf-8"?>
<x:table xmlns:x="http://schemas.openxmlformats.org/spreadsheetml/2006/main" id="33" name="ExperienceRatings" displayName="ExperienceRatings" ref="A15:C19" totalsRowShown="0">
  <x:tableColumns count="3">
    <x:tableColumn id="1" name="Experience Level"/>
    <x:tableColumn id="2" name="Piloting Skill"/>
    <x:tableColumn id="3" name="Gunnery Skill"/>
  </x:tableColumns>
  <x:tableStyleInfo name="TableStyleMedium4" showFirstColumn="0" showLastColumn="0" showRowStripes="1" showColumnStripes="0"/>
</x:table>
</file>

<file path=xl/tables/table54.xml><?xml version="1.0" encoding="utf-8"?>
<x:table xmlns:x="http://schemas.openxmlformats.org/spreadsheetml/2006/main" id="83" name="BSCAValidationRules" displayName="BSCAValidationRules" ref="A22:D34" headerRowCount="1" totalsRowCount="0" totalsRowShown="0">
  <x:tableColumns count="4">
    <x:tableColumn id="1" name="Rule / Constraint"/>
    <x:tableColumn id="2" name="Value"/>
    <x:tableColumn id="3" name="Validation Use"/>
    <x:tableColumn id="4" name="Source / Notes"/>
  </x:tableColumns>
  <x:tableStyleInfo name="TableStyleMedium4" showFirstColumn="0" showLastColumn="0" showRowStripes="1" showColumnStripes="0"/>
</x:table>
</file>

<file path=xl/tables/table55.xml><?xml version="1.0" encoding="utf-8"?>
<x:table xmlns:x="http://schemas.openxmlformats.org/spreadsheetml/2006/main" id="84" name="BSCACombinedArms" displayName="BSCACombinedArms" ref="F22:N31" headerRowCount="1" totalsRowCount="0" totalsRowShown="0">
  <x:tableColumns count="9">
    <x:tableColumn id="1" name="Support Type"/>
    <x:tableColumn id="2" name="Movement Points (MP)"/>
    <x:tableColumn id="3" name="TMM"/>
    <x:tableColumn id="4" name="Range"/>
    <x:tableColumn id="5" name="Target Number"/>
    <x:tableColumn id="6" name="Damage Value"/>
    <x:tableColumn id="7" name="Destroy Check TN"/>
    <x:tableColumn id="8" name="BSP Cost"/>
    <x:tableColumn id="9" name="Source Ref"/>
  </x:tableColumns>
  <x:tableStyleInfo name="TableStyleMedium4" showFirstColumn="0" showLastColumn="0" showRowStripes="1" showColumnStripes="0"/>
</x:table>
</file>

<file path=xl/tables/table56.xml><?xml version="1.0" encoding="utf-8"?>
<x:table xmlns:x="http://schemas.openxmlformats.org/spreadsheetml/2006/main" id="34" name="FormationSystemRules" displayName="FormationSystemRules" ref="A2:B12" totalsRowShown="0">
  <x:tableColumns count="2">
    <x:tableColumn id="1" name="Rule"/>
    <x:tableColumn id="2" name="Builder interpretation"/>
  </x:tableColumns>
  <x:tableStyleInfo name="TableStyleMedium4" showFirstColumn="0" showLastColumn="0" showRowStripes="1" showColumnStripes="0"/>
</x:table>
</file>

<file path=xl/tables/table57.xml><?xml version="1.0" encoding="utf-8"?>
<x:table xmlns:x="http://schemas.openxmlformats.org/spreadsheetml/2006/main" id="35" name="FormationCatalog" displayName="FormationCatalog" ref="A4:K35" totalsRowShown="0">
  <x:tableColumns count="11">
    <x:tableColumn id="1" name="Formation ID"/>
    <x:tableColumn id="2" name="Family"/>
    <x:tableColumn id="3" name="Formation / Variation"/>
    <x:tableColumn id="4" name="Kind"/>
    <x:tableColumn id="5" name="Status"/>
    <x:tableColumn id="6" name="Applies To"/>
    <x:tableColumn id="7" name="Requirement Relationship"/>
    <x:tableColumn id="8" name="Ideal Role"/>
    <x:tableColumn id="9" name="RAT Table"/>
    <x:tableColumn id="10" name="Secondary RAT?"/>
    <x:tableColumn id="11" name="Reason / Notes"/>
  </x:tableColumns>
  <x:tableStyleInfo name="TableStyleMedium4" showFirstColumn="0" showLastColumn="0" showRowStripes="1" showColumnStripes="0"/>
</x:table>
</file>

<file path=xl/tables/table58.xml><?xml version="1.0" encoding="utf-8"?>
<x:table xmlns:x="http://schemas.openxmlformats.org/spreadsheetml/2006/main" id="36" name="FormationRequirements" displayName="FormationRequirements" ref="A4:J63" totalsRowShown="0">
  <x:tableColumns count="10">
    <x:tableColumn id="1" name="Requirement ID"/>
    <x:tableColumn id="2" name="Formation ID"/>
    <x:tableColumn id="3" name="Logic Group"/>
    <x:tableColumn id="4" name="Scope"/>
    <x:tableColumn id="5" name="Metric"/>
    <x:tableColumn id="6" name="Operator"/>
    <x:tableColumn id="7" name="Target / Threshold"/>
    <x:tableColumn id="8" name="Clan Minimum"/>
    <x:tableColumn id="9" name="ComStar Minimum"/>
    <x:tableColumn id="10" name="Validation Notes"/>
  </x:tableColumns>
  <x:tableStyleInfo name="TableStyleMedium4" showFirstColumn="0" showLastColumn="0" showRowStripes="1" showColumnStripes="0"/>
</x:table>
</file>

<file path=xl/tables/table59.xml><?xml version="1.0" encoding="utf-8"?>
<x:table xmlns:x="http://schemas.openxmlformats.org/spreadsheetml/2006/main" id="37" name="FormationBonuses" displayName="FormationBonuses" ref="A4:J31" totalsRowShown="0">
  <x:tableColumns count="10">
    <x:tableColumn id="1" name="Bonus ID"/>
    <x:tableColumn id="2" name="Formation ID"/>
    <x:tableColumn id="3" name="Ability"/>
    <x:tableColumn id="4" name="Category"/>
    <x:tableColumn id="5" name="Selection Timing"/>
    <x:tableColumn id="6" name="Recipient Rule"/>
    <x:tableColumn id="7" name="Clan Recipients"/>
    <x:tableColumn id="8" name="ComStar Recipients"/>
    <x:tableColumn id="9" name="Use / Duration Limit"/>
    <x:tableColumn id="10" name="Additional Rules"/>
  </x:tableColumns>
  <x:tableStyleInfo name="TableStyleMedium4" showFirstColumn="0" showLastColumn="0" showRowStripes="1" showColumnStripes="0"/>
</x:table>
</file>

<file path=xl/tables/table60.xml><?xml version="1.0" encoding="utf-8"?>
<x:table xmlns:x="http://schemas.openxmlformats.org/spreadsheetml/2006/main" id="38" name="ClanFormationNames" displayName="ClanFormationNames" ref="A4:G50" totalsRowShown="0">
  <x:tableColumns count="7">
    <x:tableColumn id="1" name="Clan"/>
    <x:tableColumn id="2" name="Clan Term"/>
    <x:tableColumn id="3" name="Underlying Formation"/>
    <x:tableColumn id="4" name="Status"/>
    <x:tableColumn id="5" name="RAT Table"/>
    <x:tableColumn id="6" name="Restriction"/>
    <x:tableColumn id="7" name="Notes"/>
  </x:tableColumns>
  <x:tableStyleInfo name="TableStyleMedium4" showFirstColumn="0" showLastColumn="0" showRowStripes="1" showColumnStripes="0"/>
</x:table>
</file>

<file path=xl/tables/table61.xml><?xml version="1.0" encoding="utf-8"?>
<x:table xmlns:x="http://schemas.openxmlformats.org/spreadsheetml/2006/main" id="62" name="UnitCatalog" displayName="UnitCatalog" ref="A1:U352" totalsRowShown="0">
  <x:tableColumns count="21">
    <x:tableColumn id="1" name="Id"/>
    <x:tableColumn id="2" name="RAT Name"/>
    <x:tableColumn id="3" name="Database Name"/>
    <x:tableColumn id="4" name="Class"/>
    <x:tableColumn id="5" name="Variant"/>
    <x:tableColumn id="6" name="Weight"/>
    <x:tableColumn id="7" name="Tonnage"/>
    <x:tableColumn id="8" name="BV"/>
    <x:tableColumn id="9" name="PV"/>
    <x:tableColumn id="10" name="Role"/>
    <x:tableColumn id="11" name="BFMove"/>
    <x:tableColumn id="12" name="BFArmor"/>
    <x:tableColumn id="13" name="BF Damage S"/>
    <x:tableColumn id="14" name="BF Damage M"/>
    <x:tableColumn id="15" name="BF Damage L"/>
    <x:tableColumn id="16" name="BF Damage E"/>
    <x:tableColumn id="17" name="BFAbilities"/>
    <x:tableColumn id="18" name="Date Introduced"/>
    <x:tableColumn id="19" name="Era Review"/>
    <x:tableColumn id="20" name="Technology"/>
    <x:tableColumn id="21" name="Type"/>
  </x:tableColumns>
  <x:tableStyleInfo name="TableStyleMedium2" showFirstColumn="0" showLastColumn="0" showRowStripes="1" showColumnStripes="0"/>
</x:table>
</file>

<file path=xl/tables/table62.xml><?xml version="1.0" encoding="utf-8"?>
<x:table xmlns:x="http://schemas.openxmlformats.org/spreadsheetml/2006/main" id="63" name="RATAliasMap" displayName="RATAliasMap" ref="A1:F356" totalsRowShown="0">
  <x:tableColumns count="6">
    <x:tableColumn id="1" name="RAT Display Name"/>
    <x:tableColumn id="2" name="Choice Option"/>
    <x:tableColumn id="3" name="Database Id"/>
    <x:tableColumn id="4" name="Database Full Name"/>
    <x:tableColumn id="5" name="Source RAT/Sheet"/>
    <x:tableColumn id="6" name="Era Review Flag"/>
  </x:tableColumns>
  <x:tableStyleInfo name="TableStyleMedium2" showFirstColumn="0" showLastColumn="0" showRowStripes="1" showColumnStripes="0"/>
</x:table>
</file>

<file path=xl/tables/table63.xml><?xml version="1.0" encoding="utf-8"?>
<x:table xmlns:x="http://schemas.openxmlformats.org/spreadsheetml/2006/main" id="68" name="ProjectChangeLog" displayName="ProjectChangeLog" ref="A1:F21" headerRowCount="1" totalsRowCount="0" totalsRowShown="0">
  <x:tableColumns count="6">
    <x:tableColumn id="1" name="Date"/>
    <x:tableColumn id="2" name="Sheet"/>
    <x:tableColumn id="3" name="Table"/>
    <x:tableColumn id="4" name="Change"/>
    <x:tableColumn id="5" name="Count / Status"/>
    <x:tableColumn id="6" name="Notes"/>
  </x:tableColumns>
  <x:tableStyleInfo name="TableStyleMedium2" showFirstColumn="0" showLastColumn="0" showRowStripes="1" showColumnStripes="0"/>
</x:table>
</file>

<file path=xl/tables/table64.xml><?xml version="1.0" encoding="utf-8"?>
<x:table xmlns:x="http://schemas.openxmlformats.org/spreadsheetml/2006/main" id="64" name="RATReconciliation" displayName="RATReconciliation" ref="A1:E13" totalsRowShown="0">
  <x:tableColumns count="5">
    <x:tableColumn id="1" name="Original RAT Display Name"/>
    <x:tableColumn id="2" name="Corrected RAT Display Name"/>
    <x:tableColumn id="3" name="Locations"/>
    <x:tableColumn id="4" name="Selected Database Mapping"/>
    <x:tableColumn id="5" name="Status"/>
  </x:tableColumns>
  <x:tableStyleInfo name="TableStyleMedium2" showFirstColumn="0" showLastColumn="0" showRowStripes="1" showColumnStripes="0"/>
</x:table>
</file>

<file path=xl/tables/table65.xml><?xml version="1.0" encoding="utf-8"?>
<x:table xmlns:x="http://schemas.openxmlformats.org/spreadsheetml/2006/main" id="82" name="ForceCompositionMap" displayName="ForceCompositionMap" ref="A1:L314" headerRowCount="1" totalsRowCount="0" totalsRowShown="0">
  <x:tableColumns count="12">
    <x:tableColumn id="1" name="Lookup Key"/>
    <x:tableColumn id="2" name="Command Unit"/>
    <x:tableColumn id="3" name="Slot"/>
    <x:tableColumn id="4" name="Side"/>
    <x:tableColumn id="5" name="Component"/>
    <x:tableColumn id="6" name="Qty"/>
    <x:tableColumn id="7" name="Weight / Designation"/>
    <x:tableColumn id="8" name="Organization"/>
    <x:tableColumn id="9" name="Formation Source"/>
    <x:tableColumn id="10" name="RAT Route"/>
    <x:tableColumn id="11" name="Status"/>
    <x:tableColumn id="12" name="Notes"/>
  </x:tableColumns>
  <x:tableStyleInfo name="TableStyleMedium4" showFirstColumn="0" showLastColumn="0" showRowStripes="1" showColumnStripes="0"/>
</x:table>
</file>

<file path=xl/tables/table66.xml><?xml version="1.0" encoding="utf-8"?>
<x:table xmlns:x="http://schemas.openxmlformats.org/spreadsheetml/2006/main" id="74" name="ClanCompositionRules" displayName="ClanCompositionRules" ref="A1:G25" headerRowCount="1" totalsRowCount="0" totalsRowShown="0">
  <x:tableColumns count="7">
    <x:tableColumn id="1" name="Key"/>
    <x:tableColumn id="2" name="Base Weight"/>
    <x:tableColumn id="3" name="d6"/>
    <x:tableColumn id="4" name="Alpha"/>
    <x:tableColumn id="5" name="Bravo"/>
    <x:tableColumn id="6" name="Charlie"/>
    <x:tableColumn id="7" name="Result"/>
  </x:tableColumns>
  <x:tableStyleInfo name="TableStyleMedium4" showFirstColumn="0" showLastColumn="0" showRowStripes="1" showColumnStripes="0"/>
</x:table>
</file>

<file path=xl/tables/table67.xml><?xml version="1.0" encoding="utf-8"?>
<x:table xmlns:x="http://schemas.openxmlformats.org/spreadsheetml/2006/main" id="75" name="ClanFormationTypeRules" displayName="ClanFormationTypeRules" ref="I1:L25" headerRowCount="1" totalsRowCount="0" totalsRowShown="0">
  <x:tableColumns count="4">
    <x:tableColumn id="1" name="Key"/>
    <x:tableColumn id="2" name="Star Weight"/>
    <x:tableColumn id="3" name="d6"/>
    <x:tableColumn id="4" name="Formation Type"/>
  </x:tableColumns>
  <x:tableStyleInfo name="TableStyleMedium4" showFirstColumn="0" showLastColumn="0" showRowStripes="1" showColumnStripes="0"/>
</x:table>
</file>

<file path=xl/tables/table68.xml><?xml version="1.0" encoding="utf-8"?>
<x:table xmlns:x="http://schemas.openxmlformats.org/spreadsheetml/2006/main" id="76" name="ComStarWeightRules" displayName="ComStarWeightRules" ref="N1:P7" headerRowCount="1" totalsRowCount="0" totalsRowShown="0">
  <x:tableColumns count="3">
    <x:tableColumn id="1" name="Key"/>
    <x:tableColumn id="2" name="d6"/>
    <x:tableColumn id="3" name="Level II Weight"/>
  </x:tableColumns>
  <x:tableStyleInfo name="TableStyleMedium4" showFirstColumn="0" showLastColumn="0" showRowStripes="1" showColumnStripes="0"/>
</x:table>
</file>

<file path=xl/tables/table69.xml><?xml version="1.0" encoding="utf-8"?>
<x:table xmlns:x="http://schemas.openxmlformats.org/spreadsheetml/2006/main" id="77" name="ComStarDistributionRules" displayName="ComStarDistributionRules" ref="R1:U25" headerRowCount="1" totalsRowCount="0" totalsRowShown="0">
  <x:tableColumns count="4">
    <x:tableColumn id="1" name="Key"/>
    <x:tableColumn id="2" name="Level II Weight"/>
    <x:tableColumn id="3" name="d6"/>
    <x:tableColumn id="4" name="Unit Weight Distribution"/>
  </x:tableColumns>
  <x:tableStyleInfo name="TableStyleMedium4" showFirstColumn="0" showLastColumn="0" showRowStripes="1" showColumnStripes="0"/>
</x:table>
</file>

<file path=xl/tables/table70.xml><?xml version="1.0" encoding="utf-8"?>
<x:table xmlns:x="http://schemas.openxmlformats.org/spreadsheetml/2006/main" id="78" name="ComStarFormationTypeRules" displayName="ComStarFormationTypeRules" ref="W1:Z25" headerRowCount="1" totalsRowCount="0" totalsRowShown="0">
  <x:tableColumns count="4">
    <x:tableColumn id="1" name="Key"/>
    <x:tableColumn id="2" name="Level II Weight"/>
    <x:tableColumn id="3" name="d6"/>
    <x:tableColumn id="4" name="Formation Type"/>
  </x:tableColumns>
  <x:tableStyleInfo name="TableStyleMedium4" showFirstColumn="0" showLastColumn="0" showRowStripes="1" showColumnStripes="0"/>
</x:table>
</file>

<file path=xl/tables/table71.xml><?xml version="1.0" encoding="utf-8"?>
<x:table xmlns:x="http://schemas.openxmlformats.org/spreadsheetml/2006/main" id="79" name="TrackForceSizeRules" displayName="TrackForceSizeRules" ref="AB1:AI4" headerRowCount="1" totalsRowCount="0" totalsRowShown="0">
  <x:tableColumns count="8">
    <x:tableColumn id="1" name="Key"/>
    <x:tableColumn id="2" name="Expected Track Force Size"/>
    <x:tableColumn id="3" name="Force Points"/>
    <x:tableColumn id="4" name="BV"/>
    <x:tableColumn id="5" name="PV"/>
    <x:tableColumn id="6" name="Clan Base BSP"/>
    <x:tableColumn id="7" name="ComStar Base BSP"/>
    <x:tableColumn id="8" name="Max Additional BSP"/>
  </x:tableColumns>
  <x:tableStyleInfo name="TableStyleMedium4"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cc93d5127c4ffe" /><Relationship Type="http://schemas.openxmlformats.org/officeDocument/2006/relationships/table" Target="/xl/tables/table2.xml" Id="R78ea1eda2ad24093" /></Relationships>
</file>

<file path=xl/worksheets/_rels/sheet2.xml.rels>&#65279;<?xml version="1.0" encoding="utf-8"?><Relationships xmlns="http://schemas.openxmlformats.org/package/2006/relationships"><Relationship Type="http://schemas.openxmlformats.org/officeDocument/2006/relationships/table" Target="/xl/tables/table3.xml" Id="Rfdfa9a2754fd4df1" /><Relationship Type="http://schemas.openxmlformats.org/officeDocument/2006/relationships/table" Target="/xl/tables/table4.xml" Id="R8d13c42d45924ff2" /><Relationship Type="http://schemas.openxmlformats.org/officeDocument/2006/relationships/table" Target="/xl/tables/table5.xml" Id="R6819bd8c51584c80" /><Relationship Type="http://schemas.openxmlformats.org/officeDocument/2006/relationships/table" Target="/xl/tables/table6.xml" Id="R4fcac07beb20406a" /><Relationship Type="http://schemas.openxmlformats.org/officeDocument/2006/relationships/table" Target="/xl/tables/table7.xml" Id="R4f71ab5976be46c9" /><Relationship Type="http://schemas.openxmlformats.org/officeDocument/2006/relationships/table" Target="/xl/tables/table8.xml" Id="Rb36fcb5a189c4ce0" /></Relationships>
</file>

<file path=xl/worksheets/_rels/sheet3.xml.rels>&#65279;<?xml version="1.0" encoding="utf-8"?><Relationships xmlns="http://schemas.openxmlformats.org/package/2006/relationships"><Relationship Type="http://schemas.openxmlformats.org/officeDocument/2006/relationships/table" Target="/xl/tables/table9.xml" Id="Ra37db2f23666445a" /><Relationship Type="http://schemas.openxmlformats.org/officeDocument/2006/relationships/table" Target="/xl/tables/table10.xml" Id="R227c407660374bd3" /><Relationship Type="http://schemas.openxmlformats.org/officeDocument/2006/relationships/table" Target="/xl/tables/table11.xml" Id="R6309d443f2164199" /><Relationship Type="http://schemas.openxmlformats.org/officeDocument/2006/relationships/table" Target="/xl/tables/table12.xml" Id="R01002919e0444efb" /><Relationship Type="http://schemas.openxmlformats.org/officeDocument/2006/relationships/table" Target="/xl/tables/table13.xml" Id="Rbdcbec4d8b1a4db5" /><Relationship Type="http://schemas.openxmlformats.org/officeDocument/2006/relationships/table" Target="/xl/tables/table14.xml" Id="Rd08b48b0dac148be" /></Relationships>
</file>

<file path=xl/worksheets/_rels/sheet4.xml.rels>&#65279;<?xml version="1.0" encoding="utf-8"?><Relationships xmlns="http://schemas.openxmlformats.org/package/2006/relationships"><Relationship Type="http://schemas.openxmlformats.org/officeDocument/2006/relationships/table" Target="/xl/tables/table15.xml" Id="R44b4f92a6c1e445e" /><Relationship Type="http://schemas.openxmlformats.org/officeDocument/2006/relationships/table" Target="/xl/tables/table16.xml" Id="Ra1677ec5dd8743fd" /><Relationship Type="http://schemas.openxmlformats.org/officeDocument/2006/relationships/table" Target="/xl/tables/table17.xml" Id="R12e77385c5974648" /><Relationship Type="http://schemas.openxmlformats.org/officeDocument/2006/relationships/table" Target="/xl/tables/table18.xml" Id="R90d35708af8a463a" /><Relationship Type="http://schemas.openxmlformats.org/officeDocument/2006/relationships/table" Target="/xl/tables/table19.xml" Id="R637bdd7affd9408b" /><Relationship Type="http://schemas.openxmlformats.org/officeDocument/2006/relationships/table" Target="/xl/tables/table20.xml" Id="R96e500629a1b4b9e" /><Relationship Type="http://schemas.openxmlformats.org/officeDocument/2006/relationships/table" Target="/xl/tables/table21.xml" Id="R98f323a19f054d98" /><Relationship Type="http://schemas.openxmlformats.org/officeDocument/2006/relationships/table" Target="/xl/tables/table22.xml" Id="R2296762eb4c04586" /></Relationships>
</file>

<file path=xl/worksheets/_rels/sheet5.xml.rels>&#65279;<?xml version="1.0" encoding="utf-8"?><Relationships xmlns="http://schemas.openxmlformats.org/package/2006/relationships"><Relationship Type="http://schemas.openxmlformats.org/officeDocument/2006/relationships/table" Target="/xl/tables/table23.xml" Id="R93f6ba40a82f4b7c" /><Relationship Type="http://schemas.openxmlformats.org/officeDocument/2006/relationships/table" Target="/xl/tables/table24.xml" Id="Rab01d81c0d544c8e" /><Relationship Type="http://schemas.openxmlformats.org/officeDocument/2006/relationships/table" Target="/xl/tables/table25.xml" Id="R68a3708eba474141" /><Relationship Type="http://schemas.openxmlformats.org/officeDocument/2006/relationships/table" Target="/xl/tables/table26.xml" Id="R3ca683629c34409d" /><Relationship Type="http://schemas.openxmlformats.org/officeDocument/2006/relationships/table" Target="/xl/tables/table27.xml" Id="Reb0ce7fffeb04c19" /><Relationship Type="http://schemas.openxmlformats.org/officeDocument/2006/relationships/table" Target="/xl/tables/table28.xml" Id="R10f6ef161f11409b" /><Relationship Type="http://schemas.openxmlformats.org/officeDocument/2006/relationships/table" Target="/xl/tables/table29.xml" Id="Rd412f18f2d894ffa" /><Relationship Type="http://schemas.openxmlformats.org/officeDocument/2006/relationships/table" Target="/xl/tables/table30.xml" Id="R6c20650bc24843f5" /></Relationships>
</file>

<file path=xl/worksheets/_rels/sheet6.xml.rels>&#65279;<?xml version="1.0" encoding="utf-8"?><Relationships xmlns="http://schemas.openxmlformats.org/package/2006/relationships"><Relationship Type="http://schemas.openxmlformats.org/officeDocument/2006/relationships/table" Target="/xl/tables/table31.xml" Id="Reb9c8e041b654af8" /><Relationship Type="http://schemas.openxmlformats.org/officeDocument/2006/relationships/table" Target="/xl/tables/table32.xml" Id="Rea75ba2f5df149d8" /><Relationship Type="http://schemas.openxmlformats.org/officeDocument/2006/relationships/table" Target="/xl/tables/table33.xml" Id="Rb2157d064d35454b" /><Relationship Type="http://schemas.openxmlformats.org/officeDocument/2006/relationships/table" Target="/xl/tables/table34.xml" Id="Rec2659f934764156" /><Relationship Type="http://schemas.openxmlformats.org/officeDocument/2006/relationships/table" Target="/xl/tables/table35.xml" Id="Rd84fce803e3b428d" /><Relationship Type="http://schemas.openxmlformats.org/officeDocument/2006/relationships/table" Target="/xl/tables/table36.xml" Id="Rb0b825beef3e49df" /><Relationship Type="http://schemas.openxmlformats.org/officeDocument/2006/relationships/table" Target="/xl/tables/table37.xml" Id="R6a716597414a4dd2" /></Relationships>
</file>

<file path=xl/worksheets/_rels/sheet7.xml.rels>&#65279;<?xml version="1.0" encoding="utf-8"?><Relationships xmlns="http://schemas.openxmlformats.org/package/2006/relationships"><Relationship Type="http://schemas.openxmlformats.org/officeDocument/2006/relationships/table" Target="/xl/tables/table38.xml" Id="R372dc0e48fc14027" /><Relationship Type="http://schemas.openxmlformats.org/officeDocument/2006/relationships/table" Target="/xl/tables/table39.xml" Id="Rbd8fe4ec082a4e49" /><Relationship Type="http://schemas.openxmlformats.org/officeDocument/2006/relationships/table" Target="/xl/tables/table40.xml" Id="R2b835b7bce494bf9" /><Relationship Type="http://schemas.openxmlformats.org/officeDocument/2006/relationships/table" Target="/xl/tables/table41.xml" Id="Rfebb2abfc787410a" /></Relationships>
</file>

<file path=xl/worksheets/_rels/sheet8.xml.rels>&#65279;<?xml version="1.0" encoding="utf-8"?><Relationships xmlns="http://schemas.openxmlformats.org/package/2006/relationships"><Relationship Type="http://schemas.openxmlformats.org/officeDocument/2006/relationships/table" Target="/xl/tables/table42.xml" Id="R094a8b32605e4962" /><Relationship Type="http://schemas.openxmlformats.org/officeDocument/2006/relationships/table" Target="/xl/tables/table43.xml" Id="Re673211cfaa34d4f" /><Relationship Type="http://schemas.openxmlformats.org/officeDocument/2006/relationships/table" Target="/xl/tables/table44.xml" Id="R5384a16a95854251" /><Relationship Type="http://schemas.openxmlformats.org/officeDocument/2006/relationships/table" Target="/xl/tables/table45.xml" Id="R57f1e160122b429b" /><Relationship Type="http://schemas.openxmlformats.org/officeDocument/2006/relationships/table" Target="/xl/tables/table46.xml" Id="R4d1659b2812b4505" /><Relationship Type="http://schemas.openxmlformats.org/officeDocument/2006/relationships/table" Target="/xl/tables/table47.xml" Id="R20ca073bb1cb4267" /></Relationships>
</file>

<file path=xl/worksheets/_rels/sheet9.xml.rels>&#65279;<?xml version="1.0" encoding="utf-8"?><Relationships xmlns="http://schemas.openxmlformats.org/package/2006/relationships"><Relationship Type="http://schemas.openxmlformats.org/officeDocument/2006/relationships/table" Target="/xl/tables/table48.xml" Id="R1f756b1357b5415f" /></Relationships>
</file>

<file path=xl/worksheets/_rels/sheet10.xml.rels>&#65279;<?xml version="1.0" encoding="utf-8"?><Relationships xmlns="http://schemas.openxmlformats.org/package/2006/relationships"><Relationship Type="http://schemas.openxmlformats.org/officeDocument/2006/relationships/table" Target="/xl/tables/table49.xml" Id="R98e68192fb734cef" /></Relationships>
</file>

<file path=xl/worksheets/_rels/sheet11.xml.rels>&#65279;<?xml version="1.0" encoding="utf-8"?><Relationships xmlns="http://schemas.openxmlformats.org/package/2006/relationships"><Relationship Type="http://schemas.openxmlformats.org/officeDocument/2006/relationships/table" Target="/xl/tables/table50.xml" Id="R31db9226b8c74c79" /><Relationship Type="http://schemas.openxmlformats.org/officeDocument/2006/relationships/table" Target="/xl/tables/table51.xml" Id="Rc89b8ec4b6e9432a" /><Relationship Type="http://schemas.openxmlformats.org/officeDocument/2006/relationships/table" Target="/xl/tables/table52.xml" Id="Rdf3d5942f97c4b62" /><Relationship Type="http://schemas.openxmlformats.org/officeDocument/2006/relationships/table" Target="/xl/tables/table53.xml" Id="Rf3556da0c62e4a2d" /><Relationship Type="http://schemas.openxmlformats.org/officeDocument/2006/relationships/table" Target="/xl/tables/table54.xml" Id="Rb3c25d0d3e5c45c1" /><Relationship Type="http://schemas.openxmlformats.org/officeDocument/2006/relationships/table" Target="/xl/tables/table55.xml" Id="R3144a049d63b4c60" /></Relationships>
</file>

<file path=xl/worksheets/_rels/sheet12.xml.rels>&#65279;<?xml version="1.0" encoding="utf-8"?><Relationships xmlns="http://schemas.openxmlformats.org/package/2006/relationships"><Relationship Type="http://schemas.openxmlformats.org/officeDocument/2006/relationships/table" Target="/xl/tables/table56.xml" Id="R3be9c897cefc4a69" /></Relationships>
</file>

<file path=xl/worksheets/_rels/sheet13.xml.rels>&#65279;<?xml version="1.0" encoding="utf-8"?><Relationships xmlns="http://schemas.openxmlformats.org/package/2006/relationships"><Relationship Type="http://schemas.openxmlformats.org/officeDocument/2006/relationships/table" Target="/xl/tables/table57.xml" Id="R8bb44c394d014e7d" /></Relationships>
</file>

<file path=xl/worksheets/_rels/sheet14.xml.rels>&#65279;<?xml version="1.0" encoding="utf-8"?><Relationships xmlns="http://schemas.openxmlformats.org/package/2006/relationships"><Relationship Type="http://schemas.openxmlformats.org/officeDocument/2006/relationships/table" Target="/xl/tables/table58.xml" Id="R942f20cc8fd54951" /></Relationships>
</file>

<file path=xl/worksheets/_rels/sheet15.xml.rels>&#65279;<?xml version="1.0" encoding="utf-8"?><Relationships xmlns="http://schemas.openxmlformats.org/package/2006/relationships"><Relationship Type="http://schemas.openxmlformats.org/officeDocument/2006/relationships/table" Target="/xl/tables/table59.xml" Id="Rb8c8ab2c3e8a452e" /></Relationships>
</file>

<file path=xl/worksheets/_rels/sheet16.xml.rels>&#65279;<?xml version="1.0" encoding="utf-8"?><Relationships xmlns="http://schemas.openxmlformats.org/package/2006/relationships"><Relationship Type="http://schemas.openxmlformats.org/officeDocument/2006/relationships/table" Target="/xl/tables/table60.xml" Id="R7f200f8cbff54234" /></Relationships>
</file>

<file path=xl/worksheets/_rels/sheet17.xml.rels>&#65279;<?xml version="1.0" encoding="utf-8"?><Relationships xmlns="http://schemas.openxmlformats.org/package/2006/relationships"><Relationship Type="http://schemas.openxmlformats.org/officeDocument/2006/relationships/table" Target="/xl/tables/table61.xml" Id="R2a21b6cfe8cc46ff" /></Relationships>
</file>

<file path=xl/worksheets/_rels/sheet18.xml.rels>&#65279;<?xml version="1.0" encoding="utf-8"?><Relationships xmlns="http://schemas.openxmlformats.org/package/2006/relationships"><Relationship Type="http://schemas.openxmlformats.org/officeDocument/2006/relationships/table" Target="/xl/tables/table62.xml" Id="Rd983e9a34d2348f2" /></Relationships>
</file>

<file path=xl/worksheets/_rels/sheet19.xml.rels>&#65279;<?xml version="1.0" encoding="utf-8"?><Relationships xmlns="http://schemas.openxmlformats.org/package/2006/relationships"><Relationship Type="http://schemas.openxmlformats.org/officeDocument/2006/relationships/table" Target="/xl/tables/table63.xml" Id="R22838287ca2d4f03" /></Relationships>
</file>

<file path=xl/worksheets/_rels/sheet20.xml.rels>&#65279;<?xml version="1.0" encoding="utf-8"?><Relationships xmlns="http://schemas.openxmlformats.org/package/2006/relationships"><Relationship Type="http://schemas.openxmlformats.org/officeDocument/2006/relationships/table" Target="/xl/tables/table64.xml" Id="R454ba21026e24f97" /></Relationships>
</file>

<file path=xl/worksheets/_rels/sheet22.xml.rels>&#65279;<?xml version="1.0" encoding="utf-8"?><Relationships xmlns="http://schemas.openxmlformats.org/package/2006/relationships"><Relationship Type="http://schemas.openxmlformats.org/officeDocument/2006/relationships/table" Target="/xl/tables/table65.xml" Id="R3d59128e8a8d4f20" /></Relationships>
</file>

<file path=xl/worksheets/_rels/sheet23.xml.rels>&#65279;<?xml version="1.0" encoding="utf-8"?><Relationships xmlns="http://schemas.openxmlformats.org/package/2006/relationships"><Relationship Type="http://schemas.openxmlformats.org/officeDocument/2006/relationships/table" Target="/xl/tables/table66.xml" Id="R7f14c9e7c3674253" /><Relationship Type="http://schemas.openxmlformats.org/officeDocument/2006/relationships/table" Target="/xl/tables/table67.xml" Id="Re4dfbe1fe9a0445f" /><Relationship Type="http://schemas.openxmlformats.org/officeDocument/2006/relationships/table" Target="/xl/tables/table68.xml" Id="R70241ea33b8b4ef6" /><Relationship Type="http://schemas.openxmlformats.org/officeDocument/2006/relationships/table" Target="/xl/tables/table69.xml" Id="Rf616008132824638" /><Relationship Type="http://schemas.openxmlformats.org/officeDocument/2006/relationships/table" Target="/xl/tables/table70.xml" Id="R1f3c8ca7f8c046e0" /><Relationship Type="http://schemas.openxmlformats.org/officeDocument/2006/relationships/table" Target="/xl/tables/table71.xml" Id="R83a23dfb139c4ec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1" hidden="0" customWidth="1"/>
    <x:col min="3" max="4" width="22" customWidth="1"/>
    <x:col min="5" max="5" width="24" hidden="0" customWidth="1"/>
    <x:col min="6" max="6" width="34" hidden="0" customWidth="1"/>
    <x:col min="7" max="7" width="34" hidden="0" customWidth="1"/>
    <x:col min="8" max="8" width="28" hidden="0" customWidth="1"/>
    <x:col min="3" max="3" width="8" hidden="0" customWidth="1"/>
    <x:col min="4" max="4" width="19" hidden="0" customWidth="1"/>
  </x:cols>
  <x:sheetData>
    <x:row r="1" ht="32.099998474121094" customHeight="1">
      <x:c r="A1" s="72" t="s">
        <x:v>0</x:v>
      </x:c>
      <x:c r="B1" s="72"/>
      <x:c r="C1" s="72"/>
      <x:c r="D1" s="72"/>
      <x:c r="E1" s="72"/>
      <x:c r="F1" s="72"/>
      <x:c r="G1" s="72"/>
      <x:c r="H1" s="72"/>
    </x:row>
    <x:row r="2" ht="21.950000762939453" customHeight="1">
      <x:c r="A2" s="73" t="s">
        <x:v>1</x:v>
      </x:c>
      <x:c r="B2" s="73"/>
      <x:c r="C2" s="73"/>
      <x:c r="D2" s="73"/>
      <x:c r="E2" s="73"/>
      <x:c r="F2" s="73"/>
      <x:c r="G2" s="73"/>
      <x:c r="H2" s="73"/>
    </x:row>
    <x:row r="3" ht="8.100000381469727" customHeight="1">
      <x:c r="A3" s="22"/>
      <x:c r="B3" s="22"/>
      <x:c r="C3" s="22"/>
      <x:c r="D3" s="22"/>
      <x:c r="E3" s="22"/>
      <x:c r="F3" s="22"/>
      <x:c r="G3" s="22"/>
      <x:c r="H3" s="22"/>
    </x:row>
    <x:row r="4" ht="24" customHeight="1">
      <x:c r="A4" s="67" t="s">
        <x:v>2</x:v>
      </x:c>
      <x:c r="B4" s="67"/>
      <x:c r="C4" s="67"/>
      <x:c r="D4" s="67"/>
      <x:c r="E4" s="67" t="s">
        <x:v>3</x:v>
      </x:c>
      <x:c r="F4" s="67"/>
      <x:c r="G4" s="67"/>
      <x:c r="H4" s="67"/>
    </x:row>
    <x:row r="5" ht="27.950000762939453" customHeight="1">
      <x:c r="A5" s="57" t="s">
        <x:v>4</x:v>
      </x:c>
      <x:c r="B5" s="68" t="s">
        <x:v>5</x:v>
      </x:c>
      <x:c r="C5" s="68"/>
      <x:c r="D5" s="68"/>
      <x:c r="E5" s="57" t="s">
        <x:v>6</x:v>
      </x:c>
      <x:c r="F5" s="68" t="s">
        <x:v>7</x:v>
      </x:c>
      <x:c r="G5" s="68"/>
      <x:c r="H5" s="68"/>
    </x:row>
    <x:row r="6" ht="27.950000762939453" customHeight="1">
      <x:c r="A6" s="57" t="s">
        <x:v>8</x:v>
      </x:c>
      <x:c r="B6" s="66" t="s">
        <x:v>9</x:v>
      </x:c>
      <x:c r="C6" s="66"/>
      <x:c r="D6" s="66"/>
      <x:c r="E6" s="79" t="str">
        <x:v>Plan Slot</x:v>
      </x:c>
      <x:c r="F6" s="123" t="n">
        <x:v>1</x:v>
      </x:c>
      <x:c r="G6" s="124" t="str">
        <x:v>Choose a populated Step 2A row (1–7).</x:v>
      </x:c>
      <x:c r="H6" s="124"/>
    </x:row>
    <x:row r="7" ht="27.950000762939453" customHeight="1">
      <x:c r="A7" s="57" t="str">
        <x:v>Expected Track Size</x:v>
      </x:c>
      <x:c r="B7" s="102" t="str">
        <x:v>Star</x:v>
      </x:c>
      <x:c r="C7" s="102"/>
      <x:c r="D7" s="102"/>
      <x:c r="E7" s="79" t="str">
        <x:v>Weight Override</x:v>
      </x:c>
      <x:c r="F7" s="102" t="str">
        <x:v>Use plan</x:v>
      </x:c>
      <x:c r="G7" s="102"/>
      <x:c r="H7" s="102"/>
    </x:row>
    <x:row r="8" ht="27.950000762939453" customHeight="1">
      <x:c r="A8" s="57" t="str">
        <x:v>Track Budget</x:v>
      </x:c>
      <x:c r="B8" s="104" t="str">
        <x:f>B7&amp;" guideline — "&amp;VLOOKUP(B7,'Formation Roll Mapping'!$AB$2:$AI$4,3,FALSE)&amp;" FP | "&amp;TEXT(VLOOKUP(B7,'Formation Roll Mapping'!$AB$2:$AI$4,4,FALSE),"#,##0")&amp;" BV | "&amp;TEXT(VLOOKUP(B7,'Formation Roll Mapping'!$AB$2:$AI$4,5,FALSE),"#,##0")&amp;" PV | BSP: Clan "&amp;VLOOKUP(B7,'Formation Roll Mapping'!$AB$2:$AI$4,6,FALSE)&amp;", ComStar "&amp;VLOOKUP(B7,'Formation Roll Mapping'!$AB$2:$AI$4,7,FALSE)&amp;" | Max add "&amp;VLOOKUP(B7,'Formation Roll Mapping'!$AB$2:$AI$4,8,FALSE)&amp;" | "&amp;IF(B5="Forced","May 3052 forced","date not forced")</x:f>
        <x:v>Star guideline — 250 FP | 40,000 BV | 600 PV | BSP: Clan 0, ComStar 12 | Max add 6 | May 3052 forced</x:v>
      </x:c>
      <x:c r="C8" s="104"/>
      <x:c r="D8" s="104"/>
      <x:c r="E8" s="79" t="str">
        <x:v>Roll Status</x:v>
      </x:c>
      <x:c r="F8" s="126" t="str">
        <x:f>IF(IFERROR(VLOOKUP($F$11&amp;"|"&amp;$F$6,'Force Composition Mapping'!$A$2:$K$314,5,FALSE),"")="","Select a populated formation-plan slot.",IF(ISNUMBER(SEARCH("Reserved",IFERROR(VLOOKUP($F$11&amp;"|"&amp;$F$6,'Force Composition Mapping'!$A$2:$K$314,11,FALSE),""))),"Selected slot is reserved for Combat Vehicles, Infantry, and Aerospace; no ’Mech roll.",IF(IFERROR(VLOOKUP($F$11&amp;"|"&amp;$F$6,'Force Composition Mapping'!$A$2:$K$314,11,FALSE),"")="Deferred","Selected component remains deferred in this stage.",IF(OR(IF($F$7="Use plan",IFERROR(VLOOKUP($F$11&amp;"|"&amp;$F$6,'Force Composition Mapping'!$A$2:$K$314,7,FALSE),""),$F$7)="Rolled",IF($F$7="Use plan",IFERROR(VLOOKUP($F$11&amp;"|"&amp;$F$6,'Force Composition Mapping'!$A$2:$K$314,7,FALSE),""),$F$7)="—"),"Choose a weight override for this component.",IF(AND($F$5="Manual Roll",COUNTIFS($G$30:$G$33,"Yes",$C$30:$C$33,"")&gt;0),"Enter each required physical d6 result below.","Formation resolved; individual RAT rolls are next.")))))</x:f>
        <x:v>Formation resolved; individual RAT rolls are next.</x:v>
      </x:c>
      <x:c r="G8" s="126"/>
      <x:c r="H8" s="126"/>
    </x:row>
    <x:row r="9" ht="8.100000381469727" customHeight="1">
      <x:c r="A9" s="22"/>
      <x:c r="B9" s="22"/>
      <x:c r="C9" s="22"/>
      <x:c r="D9" s="22"/>
      <x:c r="E9" s="22"/>
      <x:c r="F9" s="22"/>
      <x:c r="G9" s="22"/>
      <x:c r="H9" s="22"/>
    </x:row>
    <x:row r="10" ht="27.950000762939453" customHeight="1">
      <x:c r="A10" s="67" t="s">
        <x:v>10</x:v>
      </x:c>
      <x:c r="B10" s="67"/>
      <x:c r="C10" s="67"/>
      <x:c r="D10" s="67"/>
      <x:c r="E10" s="67" t="s">
        <x:v>11</x:v>
      </x:c>
      <x:c r="F10" s="67"/>
      <x:c r="G10" s="67"/>
      <x:c r="H10" s="67"/>
    </x:row>
    <x:row r="11" ht="27.950000762939453" customHeight="1">
      <x:c r="A11" s="79" t="s">
        <x:v>12</x:v>
      </x:c>
      <x:c r="B11" s="68" t="str">
        <x:v>Clan</x:v>
      </x:c>
      <x:c r="C11" s="68"/>
      <x:c r="D11" s="68"/>
      <x:c r="E11" s="57" t="s">
        <x:v>13</x:v>
      </x:c>
      <x:c r="F11" s="71" t="str">
        <x:f>B14</x:f>
        <x:v>Sixth Jaguar Dragoons “The Wolfslayers”</x:v>
      </x:c>
      <x:c r="G11" s="71"/>
      <x:c r="H11" s="71"/>
    </x:row>
    <x:row r="12" ht="27.950000762939453" customHeight="1">
      <x:c r="A12" s="79" t="str">
        <x:f>IF(B11="Clan","Clan","Opponent")</x:f>
        <x:v>Clan</x:v>
      </x:c>
      <x:c r="B12" s="83" t="s">
        <x:v>14</x:v>
      </x:c>
      <x:c r="C12" s="83"/>
      <x:c r="D12" s="83"/>
      <x:c r="E12" s="57" t="s">
        <x:v>15</x:v>
      </x:c>
      <x:c r="F12" s="66" t="str">
        <x:f ca="1">IFERROR(INDEX('Commands'!$M$2:$M$57,MATCH(F11,'Commands'!$H$2:$H$57,0)),"Not found")</x:f>
        <x:v>Khan Lincoln Osis</x:v>
      </x:c>
      <x:c r="G12" s="66"/>
      <x:c r="H12" s="66"/>
    </x:row>
    <x:row r="13" ht="27.950000762939453" customHeight="1">
      <x:c r="A13" s="79" t="str">
        <x:f>IF(B11="Clan","Opponent","")</x:f>
        <x:v>Opponent</x:v>
      </x:c>
      <x:c r="B13" s="85" t="str">
        <x:f>IF(B11="Clan","ComStar","")</x:f>
        <x:v>ComStar</x:v>
      </x:c>
      <x:c r="C13" s="85"/>
      <x:c r="D13" s="85"/>
      <x:c r="E13" s="57" t="s">
        <x:v>16</x:v>
      </x:c>
      <x:c r="F13" s="66" t="str">
        <x:f ca="1">IFERROR(INDEX('Commands'!$I$2:$I$57,MATCH(F11,'Commands'!$H$2:$H$57,0)),"Not found")</x:f>
        <x:v>Elite</x:v>
      </x:c>
      <x:c r="G13" s="66"/>
      <x:c r="H13" s="66"/>
    </x:row>
    <x:row r="14" ht="27.950000762939453" customHeight="1">
      <x:c r="A14" s="82" t="str">
        <x:v>Unit</x:v>
      </x:c>
      <x:c r="B14" s="88" t="str">
        <x:v>Sixth Jaguar Dragoons “The Wolfslayers”</x:v>
      </x:c>
      <x:c r="C14" s="88"/>
      <x:c r="D14" s="88"/>
      <x:c r="E14" s="57" t="s">
        <x:v>17</x:v>
      </x:c>
      <x:c r="F14" s="66" t="str">
        <x:f ca="1">IFERROR(INDEX('Commands'!$J$2:$J$57,MATCH(F11,'Commands'!$H$2:$H$57,0)),"Not found")</x:f>
        <x:v>Front-Line</x:v>
      </x:c>
      <x:c r="G14" s="66"/>
      <x:c r="H14" s="66"/>
    </x:row>
    <x:row r="15" ht="27.950000762939453" customHeight="1">
      <x:c r="A15" s="89" t="str">
        <x:f>IF(B11="Clan","Select your Clan and one of its units. Opponent is ComStar.","Select the opposing Clan, then choose a matched ComStar unit.")</x:f>
        <x:v>Select your Clan and one of its units. Opponent is ComStar.</x:v>
      </x:c>
      <x:c r="B15" s="89"/>
      <x:c r="C15" s="89"/>
      <x:c r="D15" s="89"/>
      <x:c r="E15" s="57" t="s">
        <x:v>18</x:v>
      </x:c>
      <x:c r="F15" s="66" t="str">
        <x:f ca="1">IFERROR(INDEX('Commands'!$K$2:$K$57,MATCH(F11,'Commands'!$H$2:$H$57,0)),"Not found")</x:f>
        <x:v>3 Heavy ’Mech Trinaries, Elemental Binary, Aerospace Binary</x:v>
      </x:c>
      <x:c r="G15" s="66"/>
      <x:c r="H15" s="66"/>
    </x:row>
    <x:row r="16" ht="27.950000762939453" customHeight="1">
      <x:c r="A16" s="89"/>
      <x:c r="B16" s="89"/>
      <x:c r="C16" s="89"/>
      <x:c r="D16" s="89"/>
      <x:c r="E16" s="22"/>
      <x:c r="F16" s="66"/>
      <x:c r="G16" s="66"/>
      <x:c r="H16" s="66"/>
    </x:row>
    <x:row r="17" ht="8.100000381469727" customHeight="1">
      <x:c r="A17" s="22"/>
      <x:c r="B17" s="22"/>
      <x:c r="C17" s="22"/>
      <x:c r="D17" s="22"/>
      <x:c r="E17" s="22"/>
      <x:c r="F17" s="22"/>
      <x:c r="G17" s="22"/>
      <x:c r="H17" s="22"/>
    </x:row>
    <x:row r="18" ht="24" customHeight="1">
      <x:c r="A18" s="92" t="str">
        <x:v>FORMATION PLAN — STEP 2A</x:v>
      </x:c>
      <x:c r="B18" s="92"/>
      <x:c r="C18" s="92"/>
      <x:c r="D18" s="92"/>
      <x:c r="E18" s="92"/>
      <x:c r="F18" s="92"/>
      <x:c r="G18" s="92"/>
      <x:c r="H18" s="92"/>
    </x:row>
    <x:row r="19" ht="24" customHeight="1">
      <x:c r="A19" s="90" t="str">
        <x:v>Slot</x:v>
      </x:c>
      <x:c r="B19" s="90" t="str">
        <x:v>Component</x:v>
      </x:c>
      <x:c r="C19" s="90" t="str">
        <x:v>Qty</x:v>
      </x:c>
      <x:c r="D19" s="90" t="str">
        <x:v>Organization</x:v>
      </x:c>
      <x:c r="E19" s="90" t="str">
        <x:v>Weight / Designation</x:v>
      </x:c>
      <x:c r="F19" s="90" t="str">
        <x:v>Formation Source</x:v>
      </x:c>
      <x:c r="G19" s="90" t="str">
        <x:v>RAT Route</x:v>
      </x:c>
      <x:c r="H19" s="90" t="str">
        <x:v>Status</x:v>
      </x:c>
    </x:row>
    <x:row r="20" ht="34" customHeight="1">
      <x:c r="A20" s="90" t="n">
        <x:v>1</x:v>
      </x:c>
      <x:c r="B20" s="90" t="str">
        <x:f>IFERROR(VLOOKUP($F$11&amp;"|1",'Force Composition Mapping'!$A$2:$K$314,5,FALSE),"")</x:f>
        <x:v>Heavy ’Mech Trinary</x:v>
      </x:c>
      <x:c r="C20" s="90" t="n">
        <x:f>IFERROR(VLOOKUP($F$11&amp;"|1",'Force Composition Mapping'!$A$2:$K$314,6,FALSE),"")</x:f>
        <x:v>1</x:v>
      </x:c>
      <x:c r="D20" s="90" t="str">
        <x:f>IFERROR(VLOOKUP($F$11&amp;"|1",'Force Composition Mapping'!$A$2:$K$314,8,FALSE),"")</x:f>
        <x:v>Trinary</x:v>
      </x:c>
      <x:c r="E20" s="90" t="str">
        <x:f>IFERROR(VLOOKUP($F$11&amp;"|1",'Force Composition Mapping'!$A$2:$K$314,7,FALSE),"")</x:f>
        <x:v>Heavy</x:v>
      </x:c>
      <x:c r="F20" s="90" t="str">
        <x:f>IFERROR(VLOOKUP($F$11&amp;"|1",'Force Composition Mapping'!$A$2:$K$314,9,FALSE),"")</x:f>
        <x:v>Heavy Trinary — Clan Formations</x:v>
      </x:c>
      <x:c r="G20" s="90" t="str">
        <x:f>IFERROR(VLOOKUP($F$11&amp;"|1",'Force Composition Mapping'!$A$2:$K$314,10,FALSE),"")</x:f>
        <x:v>Clan Heavy ’Mechs → rolled formation type</x:v>
      </x:c>
      <x:c r="H20" s="90" t="str">
        <x:f>IFERROR(VLOOKUP($F$11&amp;"|1",'Force Composition Mapping'!$A$2:$K$314,11,FALSE),"")</x:f>
        <x:v>Ready for formation roll</x:v>
      </x:c>
    </x:row>
    <x:row r="21" ht="34" customHeight="1">
      <x:c r="A21" s="90" t="n">
        <x:v>2</x:v>
      </x:c>
      <x:c r="B21" s="90" t="str">
        <x:f>IFERROR(VLOOKUP($F$11&amp;"|2",'Force Composition Mapping'!$A$2:$K$314,5,FALSE),"")</x:f>
        <x:v>Heavy ’Mech Trinary</x:v>
      </x:c>
      <x:c r="C21" s="90" t="n">
        <x:f>IFERROR(VLOOKUP($F$11&amp;"|2",'Force Composition Mapping'!$A$2:$K$314,6,FALSE),"")</x:f>
        <x:v>1</x:v>
      </x:c>
      <x:c r="D21" s="90" t="str">
        <x:f>IFERROR(VLOOKUP($F$11&amp;"|2",'Force Composition Mapping'!$A$2:$K$314,8,FALSE),"")</x:f>
        <x:v>Trinary</x:v>
      </x:c>
      <x:c r="E21" s="90" t="str">
        <x:f>IFERROR(VLOOKUP($F$11&amp;"|2",'Force Composition Mapping'!$A$2:$K$314,7,FALSE),"")</x:f>
        <x:v>Heavy</x:v>
      </x:c>
      <x:c r="F21" s="90" t="str">
        <x:f>IFERROR(VLOOKUP($F$11&amp;"|2",'Force Composition Mapping'!$A$2:$K$314,9,FALSE),"")</x:f>
        <x:v>Heavy Trinary — Clan Formations</x:v>
      </x:c>
      <x:c r="G21" s="90" t="str">
        <x:f>IFERROR(VLOOKUP($F$11&amp;"|2",'Force Composition Mapping'!$A$2:$K$314,10,FALSE),"")</x:f>
        <x:v>Clan Heavy ’Mechs → rolled formation type</x:v>
      </x:c>
      <x:c r="H21" s="90" t="str">
        <x:f>IFERROR(VLOOKUP($F$11&amp;"|2",'Force Composition Mapping'!$A$2:$K$314,11,FALSE),"")</x:f>
        <x:v>Ready for formation roll</x:v>
      </x:c>
    </x:row>
    <x:row r="22" ht="34" customHeight="1">
      <x:c r="A22" s="90" t="n">
        <x:v>3</x:v>
      </x:c>
      <x:c r="B22" s="90" t="str">
        <x:f>IFERROR(VLOOKUP($F$11&amp;"|3",'Force Composition Mapping'!$A$2:$K$314,5,FALSE),"")</x:f>
        <x:v>Heavy ’Mech Trinary</x:v>
      </x:c>
      <x:c r="C22" s="90" t="n">
        <x:f>IFERROR(VLOOKUP($F$11&amp;"|3",'Force Composition Mapping'!$A$2:$K$314,6,FALSE),"")</x:f>
        <x:v>1</x:v>
      </x:c>
      <x:c r="D22" s="90" t="str">
        <x:f>IFERROR(VLOOKUP($F$11&amp;"|3",'Force Composition Mapping'!$A$2:$K$314,8,FALSE),"")</x:f>
        <x:v>Trinary</x:v>
      </x:c>
      <x:c r="E22" s="90" t="str">
        <x:f>IFERROR(VLOOKUP($F$11&amp;"|3",'Force Composition Mapping'!$A$2:$K$314,7,FALSE),"")</x:f>
        <x:v>Heavy</x:v>
      </x:c>
      <x:c r="F22" s="90" t="str">
        <x:f>IFERROR(VLOOKUP($F$11&amp;"|3",'Force Composition Mapping'!$A$2:$K$314,9,FALSE),"")</x:f>
        <x:v>Heavy Trinary — Clan Formations</x:v>
      </x:c>
      <x:c r="G22" s="90" t="str">
        <x:f>IFERROR(VLOOKUP($F$11&amp;"|3",'Force Composition Mapping'!$A$2:$K$314,10,FALSE),"")</x:f>
        <x:v>Clan Heavy ’Mechs → rolled formation type</x:v>
      </x:c>
      <x:c r="H22" s="90" t="str">
        <x:f>IFERROR(VLOOKUP($F$11&amp;"|3",'Force Composition Mapping'!$A$2:$K$314,11,FALSE),"")</x:f>
        <x:v>Ready for formation roll</x:v>
      </x:c>
    </x:row>
    <x:row r="23" ht="34" customHeight="1">
      <x:c r="A23" s="90" t="n">
        <x:v>4</x:v>
      </x:c>
      <x:c r="B23" s="90" t="str">
        <x:f>IFERROR(VLOOKUP($F$11&amp;"|4",'Force Composition Mapping'!$A$2:$K$314,5,FALSE),"")</x:f>
        <x:v>Elemental Binary</x:v>
      </x:c>
      <x:c r="C23" s="90" t="n">
        <x:f>IFERROR(VLOOKUP($F$11&amp;"|4",'Force Composition Mapping'!$A$2:$K$314,6,FALSE),"")</x:f>
        <x:v>1</x:v>
      </x:c>
      <x:c r="D23" s="90" t="str">
        <x:f>IFERROR(VLOOKUP($F$11&amp;"|4",'Force Composition Mapping'!$A$2:$K$314,8,FALSE),"")</x:f>
        <x:v>Battle Armor</x:v>
      </x:c>
      <x:c r="E23" s="90" t="str">
        <x:f>IFERROR(VLOOKUP($F$11&amp;"|4",'Force Composition Mapping'!$A$2:$K$314,7,FALSE),"")</x:f>
        <x:v>—</x:v>
      </x:c>
      <x:c r="F23" s="90" t="str">
        <x:f>IFERROR(VLOOKUP($F$11&amp;"|4",'Force Composition Mapping'!$A$2:$K$314,9,FALSE),"")</x:f>
        <x:v>Non-BattleMechs — Elemental entries (future scope)</x:v>
      </x:c>
      <x:c r="G23" s="90" t="str">
        <x:f>IFERROR(VLOOKUP($F$11&amp;"|4",'Force Composition Mapping'!$A$2:$K$314,10,FALSE),"")</x:f>
        <x:v>Elemental Battle Armor; forced May 3052 availability</x:v>
      </x:c>
      <x:c r="H23" s="90" t="str">
        <x:f>IFERROR(VLOOKUP($F$11&amp;"|4",'Force Composition Mapping'!$A$2:$K$314,11,FALSE),"")</x:f>
        <x:v>Deferred</x:v>
      </x:c>
    </x:row>
    <x:row r="24" ht="34" customHeight="1">
      <x:c r="A24" s="90" t="n">
        <x:v>5</x:v>
      </x:c>
      <x:c r="B24" s="90" t="str">
        <x:f>IFERROR(VLOOKUP($F$11&amp;"|5",'Force Composition Mapping'!$A$2:$K$314,5,FALSE),"")</x:f>
        <x:v>Aerospace Binary</x:v>
      </x:c>
      <x:c r="C24" s="90" t="n">
        <x:f>IFERROR(VLOOKUP($F$11&amp;"|5",'Force Composition Mapping'!$A$2:$K$314,6,FALSE),"")</x:f>
        <x:v>1</x:v>
      </x:c>
      <x:c r="D24" s="90" t="str">
        <x:f>IFERROR(VLOOKUP($F$11&amp;"|5",'Force Composition Mapping'!$A$2:$K$314,8,FALSE),"")</x:f>
        <x:v>Aerospace</x:v>
      </x:c>
      <x:c r="E24" s="90" t="str">
        <x:f>IFERROR(VLOOKUP($F$11&amp;"|5",'Force Composition Mapping'!$A$2:$K$314,7,FALSE),"")</x:f>
        <x:v>—</x:v>
      </x:c>
      <x:c r="F24" s="90" t="str">
        <x:f>IFERROR(VLOOKUP($F$11&amp;"|5",'Force Composition Mapping'!$A$2:$K$314,9,FALSE),"")</x:f>
        <x:v>Deferred — outside current ’Mech scope</x:v>
      </x:c>
      <x:c r="G24" s="90" t="str">
        <x:f>IFERROR(VLOOKUP($F$11&amp;"|5",'Force Composition Mapping'!$A$2:$K$314,10,FALSE),"")</x:f>
        <x:v>None</x:v>
      </x:c>
      <x:c r="H24" s="90" t="str">
        <x:f>IFERROR(VLOOKUP($F$11&amp;"|5",'Force Composition Mapping'!$A$2:$K$314,11,FALSE),"")</x:f>
        <x:v>Deferred</x:v>
      </x:c>
    </x:row>
    <x:row r="25" ht="34" customHeight="1">
      <x:c r="A25" s="90" t="n">
        <x:v>6</x:v>
      </x:c>
      <x:c r="B25" s="90" t="str">
        <x:f>IFERROR(VLOOKUP($F$11&amp;"|6",'Force Composition Mapping'!$A$2:$K$314,5,FALSE),"")</x:f>
      </x:c>
      <x:c r="C25" s="90" t="str">
        <x:f>IFERROR(VLOOKUP($F$11&amp;"|6",'Force Composition Mapping'!$A$2:$K$314,6,FALSE),"")</x:f>
      </x:c>
      <x:c r="D25" s="90" t="str">
        <x:f>IFERROR(VLOOKUP($F$11&amp;"|6",'Force Composition Mapping'!$A$2:$K$314,8,FALSE),"")</x:f>
      </x:c>
      <x:c r="E25" s="90" t="str">
        <x:f>IFERROR(VLOOKUP($F$11&amp;"|6",'Force Composition Mapping'!$A$2:$K$314,7,FALSE),"")</x:f>
      </x:c>
      <x:c r="F25" s="90" t="str">
        <x:f>IFERROR(VLOOKUP($F$11&amp;"|6",'Force Composition Mapping'!$A$2:$K$314,9,FALSE),"")</x:f>
      </x:c>
      <x:c r="G25" s="90" t="str">
        <x:f>IFERROR(VLOOKUP($F$11&amp;"|6",'Force Composition Mapping'!$A$2:$K$314,10,FALSE),"")</x:f>
      </x:c>
      <x:c r="H25" s="90" t="str">
        <x:f>IFERROR(VLOOKUP($F$11&amp;"|6",'Force Composition Mapping'!$A$2:$K$314,11,FALSE),"")</x:f>
      </x:c>
    </x:row>
    <x:row r="26" ht="34" customHeight="1">
      <x:c r="A26" s="100" t="n">
        <x:v>7</x:v>
      </x:c>
      <x:c r="B26" s="100" t="str">
        <x:f>IFERROR(VLOOKUP($F$11&amp;"|7",'Force Composition Mapping'!$A$2:$K$314,5,FALSE),"")</x:f>
      </x:c>
      <x:c r="C26" s="100" t="str">
        <x:f>IFERROR(VLOOKUP($F$11&amp;"|7",'Force Composition Mapping'!$A$2:$K$314,6,FALSE),"")</x:f>
      </x:c>
      <x:c r="D26" s="100" t="str">
        <x:f>IFERROR(VLOOKUP($F$11&amp;"|7",'Force Composition Mapping'!$A$2:$K$314,8,FALSE),"")</x:f>
      </x:c>
      <x:c r="E26" s="100" t="str">
        <x:f>IFERROR(VLOOKUP($F$11&amp;"|7",'Force Composition Mapping'!$A$2:$K$314,7,FALSE),"")</x:f>
      </x:c>
      <x:c r="F26" s="100" t="str">
        <x:f>IFERROR(VLOOKUP($F$11&amp;"|7",'Force Composition Mapping'!$A$2:$K$314,9,FALSE),"")</x:f>
      </x:c>
      <x:c r="G26" s="100" t="str">
        <x:f>IFERROR(VLOOKUP($F$11&amp;"|7",'Force Composition Mapping'!$A$2:$K$314,10,FALSE),"")</x:f>
      </x:c>
      <x:c r="H26" s="100" t="str">
        <x:f>IFERROR(VLOOKUP($F$11&amp;"|7",'Force Composition Mapping'!$A$2:$K$314,11,FALSE),"")</x:f>
      </x:c>
    </x:row>
    <x:row r="27" ht="24" customHeight="1">
      <x:c r="A27" s="22"/>
      <x:c r="B27" s="22"/>
      <x:c r="C27" s="22"/>
      <x:c r="D27" s="22"/>
      <x:c r="E27" s="22"/>
      <x:c r="F27" s="22"/>
      <x:c r="G27" s="22"/>
      <x:c r="H27" s="22"/>
    </x:row>
    <x:row r="28" ht="24" customHeight="1">
      <x:c r="A28" s="106" t="str">
        <x:v>FORMATION ROLLER — STEP 2B</x:v>
      </x:c>
      <x:c r="B28" s="106"/>
      <x:c r="C28" s="106"/>
      <x:c r="D28" s="106"/>
      <x:c r="E28" s="106"/>
      <x:c r="F28" s="106"/>
      <x:c r="G28" s="106"/>
      <x:c r="H28" s="106"/>
    </x:row>
    <x:row r="29" ht="24" customHeight="1">
      <x:c r="A29" s="90" t="str">
        <x:v>Roll Step</x:v>
      </x:c>
      <x:c r="B29" s="90" t="str">
        <x:v>Purpose</x:v>
      </x:c>
      <x:c r="C29" s="90" t="str">
        <x:v>Manual d6</x:v>
      </x:c>
      <x:c r="D29" s="90" t="str">
        <x:v>Used d6</x:v>
      </x:c>
      <x:c r="E29" s="90" t="str">
        <x:v>Result</x:v>
      </x:c>
      <x:c r="F29" s="90" t="str">
        <x:v>Rule Source</x:v>
      </x:c>
      <x:c r="G29" s="90" t="str">
        <x:v>Required?</x:v>
      </x:c>
      <x:c r="H29" s="90" t="str">
        <x:v>Notes</x:v>
      </x:c>
    </x:row>
    <x:row r="30" ht="44" customHeight="1">
      <x:c r="A30" s="90" t="n">
        <x:v>1</x:v>
      </x:c>
      <x:c r="B30" s="90" t="str">
        <x:f>IF(ISNUMBER(SEARCH("Reserved",IFERROR(VLOOKUP($F$11&amp;"|"&amp;$F$6,'Force Composition Mapping'!$A$2:$K$314,11,FALSE),""))),"Reserved support — no roll",IF($B$11="Clan","Star weight composition","Level II weight"))</x:f>
        <x:v>Star weight composition</x:v>
      </x:c>
      <x:c r="C30" s="121"/>
      <x:c r="D30" s="122" t="str">
        <x:f>IF(G30&lt;&gt;"Yes","",IF($F$5="Manual Roll",IF(OR(C30="",C30=0),"",C30),RANDBETWEEN(1,6)))</x:f>
      </x:c>
      <x:c r="E30" s="90" t="str">
        <x:f>IF(D30="","",IF($B$11="Clan",VLOOKUP(IF($F$7="Use plan",IFERROR(VLOOKUP($F$11&amp;"|"&amp;$F$6,'Force Composition Mapping'!$A$2:$K$314,7,FALSE),""),$F$7)&amp;"|"&amp;D30,'Formation Roll Mapping'!$A$2:$G$25,7,FALSE),VLOOKUP("CSW|"&amp;D30,'Formation Roll Mapping'!$N$2:$P$7,3,FALSE)))</x:f>
      </x:c>
      <x:c r="F30" s="90" t="str">
        <x:f>IF(G30="Yes",IF($B$11="Clan","Clan Formations","ComStar Formations"),"")</x:f>
        <x:v>Clan Formations</x:v>
      </x:c>
      <x:c r="G30" s="90" t="str">
        <x:f>IF(OR(IFERROR(VLOOKUP($F$11&amp;"|"&amp;$F$6,'Force Composition Mapping'!$A$2:$K$314,5,FALSE),"")="",IFERROR(VLOOKUP($F$11&amp;"|"&amp;$F$6,'Force Composition Mapping'!$A$2:$K$314,11,FALSE),"")="Deferred",ISNUMBER(SEARCH("Reserved",IFERROR(VLOOKUP($F$11&amp;"|"&amp;$F$6,'Force Composition Mapping'!$A$2:$K$314,11,FALSE),"")))),"No",IF($B$11="ComStar","Yes",IF(OR(IFERROR(VLOOKUP($F$11&amp;"|"&amp;$F$6,'Force Composition Mapping'!$A$2:$K$314,8,FALSE),"")="Trinary",IFERROR(VLOOKUP($F$11&amp;"|"&amp;$F$6,'Force Composition Mapping'!$A$2:$K$314,8,FALSE),"")="Binary",IFERROR(VLOOKUP($F$11&amp;"|"&amp;$F$6,'Force Composition Mapping'!$A$2:$K$314,8,FALSE),"")="Supernova"),IF(ISNUMBER(SEARCH("Trinary Striker",IFERROR(VLOOKUP($F$11&amp;"|"&amp;$F$6,'Force Composition Mapping'!$A$2:$K$314,5,FALSE),""))),"No","Yes"),"No")))</x:f>
        <x:v>Yes</x:v>
      </x:c>
      <x:c r="H30" s="90" t="str">
        <x:f>IF(G30="Yes","Roll 1d6 for formation composition/weight.","")</x:f>
        <x:v>Roll 1d6 for formation composition/weight.</x:v>
      </x:c>
    </x:row>
    <x:row r="31" ht="44" customHeight="1">
      <x:c r="A31" s="90" t="n">
        <x:v>2</x:v>
      </x:c>
      <x:c r="B31" s="90" t="str">
        <x:f>IF(ISNUMBER(SEARCH("Reserved",IFERROR(VLOOKUP($F$11&amp;"|"&amp;$F$6,'Force Composition Mapping'!$A$2:$K$314,11,FALSE),""))),"Not used",IF($B$11="Clan","Alpha Star formation type","Unit weight distribution"))</x:f>
        <x:v>Alpha Star formation type</x:v>
      </x:c>
      <x:c r="C31" s="121"/>
      <x:c r="D31" s="122" t="str">
        <x:f>IF(G31&lt;&gt;"Yes","",IF($F$5="Manual Roll",IF(OR(C31="",C31=0),"",C31),RANDBETWEEN(1,6)))</x:f>
      </x:c>
      <x:c r="E31" s="90" t="str">
        <x:f>IF(D31="","",IF($B$11="Clan",VLOOKUP(IF(ISNUMBER(SEARCH("Trinary Striker",IFERROR(VLOOKUP($F$11&amp;"|"&amp;$F$6,'Force Composition Mapping'!$A$2:$K$314,5,FALSE),""))),"Medium",IF(G30="Yes",VLOOKUP(IF($F$7="Use plan",IFERROR(VLOOKUP($F$11&amp;"|"&amp;$F$6,'Force Composition Mapping'!$A$2:$K$314,7,FALSE),""),$F$7)&amp;"|"&amp;D30,'Formation Roll Mapping'!$A$2:$G$25,4,FALSE),IF($F$7="Use plan",IFERROR(VLOOKUP($F$11&amp;"|"&amp;$F$6,'Force Composition Mapping'!$A$2:$K$314,7,FALSE),""),$F$7)))&amp;"|"&amp;D31,'Formation Roll Mapping'!$I$2:$L$25,4,FALSE),VLOOKUP(E30&amp;"|"&amp;D31,'Formation Roll Mapping'!$R$2:$U$25,4,FALSE)))</x:f>
      </x:c>
      <x:c r="F31" s="90" t="str">
        <x:f>IF(G31="Yes",IF($B$11="Clan","Clan Formations","ComStar Formations"),"")</x:f>
        <x:v>Clan Formations</x:v>
      </x:c>
      <x:c r="G31" s="90" t="str">
        <x:f>IF(OR(IFERROR(VLOOKUP($F$11&amp;"|"&amp;$F$6,'Force Composition Mapping'!$A$2:$K$314,5,FALSE),"")="",IFERROR(VLOOKUP($F$11&amp;"|"&amp;$F$6,'Force Composition Mapping'!$A$2:$K$314,11,FALSE),"")="Deferred",ISNUMBER(SEARCH("Reserved",IFERROR(VLOOKUP($F$11&amp;"|"&amp;$F$6,'Force Composition Mapping'!$A$2:$K$314,11,FALSE),""))),OR(IF($F$7="Use plan",IFERROR(VLOOKUP($F$11&amp;"|"&amp;$F$6,'Force Composition Mapping'!$A$2:$K$314,7,FALSE),""),$F$7)="Rolled",IF($F$7="Use plan",IFERROR(VLOOKUP($F$11&amp;"|"&amp;$F$6,'Force Composition Mapping'!$A$2:$K$314,7,FALSE),""),$F$7)="—")),"No","Yes")</x:f>
        <x:v>Yes</x:v>
      </x:c>
      <x:c r="H31" s="90" t="str">
        <x:f>IF(G31="Yes",IF($B$11="Clan","Resolves the first Star's RAT type.","Resolves the six unit weight slots."),"")</x:f>
        <x:v>Resolves the first Star's RAT type.</x:v>
      </x:c>
    </x:row>
    <x:row r="32" ht="44" customHeight="1">
      <x:c r="A32" s="90" t="n">
        <x:v>3</x:v>
      </x:c>
      <x:c r="B32" s="90" t="str">
        <x:f>IF(ISNUMBER(SEARCH("Reserved",IFERROR(VLOOKUP($F$11&amp;"|"&amp;$F$6,'Force Composition Mapping'!$A$2:$K$314,11,FALSE),""))),"Not used",IF($B$11="Clan","Bravo Star formation type","Level II formation type"))</x:f>
        <x:v>Bravo Star formation type</x:v>
      </x:c>
      <x:c r="C32" s="121"/>
      <x:c r="D32" s="122" t="str">
        <x:f>IF(G32&lt;&gt;"Yes","",IF($F$5="Manual Roll",IF(OR(C32="",C32=0),"",C32),RANDBETWEEN(1,6)))</x:f>
      </x:c>
      <x:c r="E32" s="90" t="str">
        <x:f>IF(D32="","",IF($B$11="Clan",VLOOKUP(IF(ISNUMBER(SEARCH("Trinary Striker",IFERROR(VLOOKUP($F$11&amp;"|"&amp;$F$6,'Force Composition Mapping'!$A$2:$K$314,5,FALSE),""))),"Medium",VLOOKUP(IF($F$7="Use plan",IFERROR(VLOOKUP($F$11&amp;"|"&amp;$F$6,'Force Composition Mapping'!$A$2:$K$314,7,FALSE),""),$F$7)&amp;"|"&amp;D30,'Formation Roll Mapping'!$A$2:$G$25,5,FALSE))&amp;"|"&amp;D32,'Formation Roll Mapping'!$I$2:$L$25,4,FALSE),VLOOKUP(E30&amp;"|"&amp;D32,'Formation Roll Mapping'!$W$2:$Z$25,4,FALSE)))</x:f>
      </x:c>
      <x:c r="F32" s="90" t="str">
        <x:f>IF(G32="Yes",IF($B$11="Clan","Clan Formations","ComStar Formations"),"")</x:f>
        <x:v>Clan Formations</x:v>
      </x:c>
      <x:c r="G32" s="90" t="str">
        <x:f>IF(OR(IFERROR(VLOOKUP($F$11&amp;"|"&amp;$F$6,'Force Composition Mapping'!$A$2:$K$314,5,FALSE),"")="",IFERROR(VLOOKUP($F$11&amp;"|"&amp;$F$6,'Force Composition Mapping'!$A$2:$K$314,11,FALSE),"")="Deferred",ISNUMBER(SEARCH("Reserved",IFERROR(VLOOKUP($F$11&amp;"|"&amp;$F$6,'Force Composition Mapping'!$A$2:$K$314,11,FALSE),"")))),"No",IF($B$11="ComStar","Yes",IF(OR(IFERROR(VLOOKUP($F$11&amp;"|"&amp;$F$6,'Force Composition Mapping'!$A$2:$K$314,8,FALSE),"")="Trinary",IFERROR(VLOOKUP($F$11&amp;"|"&amp;$F$6,'Force Composition Mapping'!$A$2:$K$314,8,FALSE),"")="Binary",IFERROR(VLOOKUP($F$11&amp;"|"&amp;$F$6,'Force Composition Mapping'!$A$2:$K$314,8,FALSE),"")="Supernova"),"Yes","No")))</x:f>
        <x:v>Yes</x:v>
      </x:c>
      <x:c r="H32" s="90" t="str">
        <x:f>IF(G32="Yes",IF($B$11="Clan","Resolves the second Star's RAT type.","Resolves the Level II RAT type."),"")</x:f>
        <x:v>Resolves the second Star's RAT type.</x:v>
      </x:c>
    </x:row>
    <x:row r="33" ht="44" customHeight="1">
      <x:c r="A33" s="90" t="n">
        <x:v>4</x:v>
      </x:c>
      <x:c r="B33" s="90" t="str">
        <x:f>IF(ISNUMBER(SEARCH("Reserved",IFERROR(VLOOKUP($F$11&amp;"|"&amp;$F$6,'Force Composition Mapping'!$A$2:$K$314,11,FALSE),""))),"Not used",IF($B$11="Clan","Charlie Star formation type","Not used"))</x:f>
        <x:v>Charlie Star formation type</x:v>
      </x:c>
      <x:c r="C33" s="121"/>
      <x:c r="D33" s="122" t="str">
        <x:f>IF(G33&lt;&gt;"Yes","",IF($F$5="Manual Roll",IF(OR(C33="",C33=0),"",C33),RANDBETWEEN(1,6)))</x:f>
      </x:c>
      <x:c r="E33" s="90" t="str">
        <x:f>IF(D33="","",IF($B$11="Clan",VLOOKUP(VLOOKUP(IF($F$7="Use plan",IFERROR(VLOOKUP($F$11&amp;"|"&amp;$F$6,'Force Composition Mapping'!$A$2:$K$314,7,FALSE),""),$F$7)&amp;"|"&amp;D30,'Formation Roll Mapping'!$A$2:$G$25,6,FALSE)&amp;"|"&amp;D33,'Formation Roll Mapping'!$I$2:$L$25,4,FALSE),""))</x:f>
      </x:c>
      <x:c r="F33" s="90" t="str">
        <x:f>IF(G33="Yes","Clan Formations","")</x:f>
        <x:v>Clan Formations</x:v>
      </x:c>
      <x:c r="G33" s="90" t="str">
        <x:f>IF(OR(IFERROR(VLOOKUP($F$11&amp;"|"&amp;$F$6,'Force Composition Mapping'!$A$2:$K$314,5,FALSE),"")="",IFERROR(VLOOKUP($F$11&amp;"|"&amp;$F$6,'Force Composition Mapping'!$A$2:$K$314,11,FALSE),"")="Deferred",ISNUMBER(SEARCH("Reserved",IFERROR(VLOOKUP($F$11&amp;"|"&amp;$F$6,'Force Composition Mapping'!$A$2:$K$314,11,FALSE),""))),$B$11="ComStar"),"No",IF(AND(OR(IFERROR(VLOOKUP($F$11&amp;"|"&amp;$F$6,'Force Composition Mapping'!$A$2:$K$314,8,FALSE),"")="Trinary",IFERROR(VLOOKUP($F$11&amp;"|"&amp;$F$6,'Force Composition Mapping'!$A$2:$K$314,8,FALSE),"")="Supernova"),NOT(ISNUMBER(SEARCH("Trinary Striker",IFERROR(VLOOKUP($F$11&amp;"|"&amp;$F$6,'Force Composition Mapping'!$A$2:$K$314,5,FALSE),""))))),"Yes","No"))</x:f>
        <x:v>Yes</x:v>
      </x:c>
      <x:c r="H33" s="90" t="str">
        <x:f>IF(G33="Yes","Resolves the third Star's RAT type.","")</x:f>
        <x:v>Resolves the third Star's RAT type.</x:v>
      </x:c>
    </x:row>
  </x:sheetData>
  <x:mergeCells>
    <x:mergeCell ref="A1:H1"/>
    <x:mergeCell ref="A2:H2"/>
    <x:mergeCell ref="A4:D4"/>
    <x:mergeCell ref="E4:H4"/>
    <x:mergeCell ref="A10:D10"/>
    <x:mergeCell ref="E10:H10"/>
    <x:mergeCell ref="B11:D11"/>
    <x:mergeCell ref="B12:D12"/>
    <x:mergeCell ref="B13:D13"/>
    <x:mergeCell ref="F11:H11"/>
    <x:mergeCell ref="F12:H12"/>
    <x:mergeCell ref="B5:D5"/>
    <x:mergeCell ref="B6:D6"/>
    <x:mergeCell ref="F5:H5"/>
    <x:mergeCell ref="F13:H13"/>
    <x:mergeCell ref="F14:H14"/>
    <x:mergeCell ref="F15:H16"/>
    <x:mergeCell ref="A18:H18"/>
    <x:mergeCell ref="B14:D14"/>
    <x:mergeCell ref="A15:D16"/>
    <x:mergeCell ref="G6:H6"/>
    <x:mergeCell ref="F7:H7"/>
    <x:mergeCell ref="F8:H8"/>
    <x:mergeCell ref="B7:D7"/>
    <x:mergeCell ref="B8:D8"/>
    <x:mergeCell ref="A28:H28"/>
  </x:mergeCells>
  <x:conditionalFormatting sqref="B13:D13">
    <x:cfRule type="expression" dxfId="24" priority="1">
      <x:formula>$B$11="ComStar"</x:formula>
    </x:cfRule>
  </x:conditionalFormatting>
  <x:dataValidations count="10">
    <x:dataValidation type="list" sqref="B5">
      <x:formula1>"Forced,Open"</x:formula1>
    </x:dataValidation>
    <x:dataValidation type="list" sqref="F5">
      <x:formula1>"Manual Roll,Automatic Roll"</x:formula1>
    </x:dataValidation>
    <x:dataValidation type="whole" operator="between" sqref="F6">
      <x:formula1>1</x:formula1>
      <x:formula2>7</x:formula2>
    </x:dataValidation>
    <x:dataValidation type="list" sqref="B11">
      <x:formula1>"Clan,ComStar"</x:formula1>
    </x:dataValidation>
    <x:dataValidation type="list" sqref="B12">
      <x:formula1>"Clan Diamond Shark,Clan Ghost Bear,Clan Jade Falcon,Clan Nova Cat,Clan Smoke Jaguar,Clan Steel Viper,Clan Wolf"</x:formula1>
    </x:dataValidation>
    <x:dataValidation type="list" sqref="B13">
      <x:formula1>"ComStar"</x:formula1>
    </x:dataValidation>
    <x:dataValidation type="list" sqref="B14">
      <x:formula1>IF($B$11="Clan",CHOOSE(MATCH($B$12,'Force Builder Lists'!$A$1:$G$1,0),'Force Builder Lists'!$A$2:$A$29,'Force Builder Lists'!$B$2:$B$29,'Force Builder Lists'!$C$2:$C$29,'Force Builder Lists'!$D$2:$D$29,'Force Builder Lists'!$E$2:$E$29,'Force Builder Lists'!$F$2:$F$29,'Force Builder Lists'!$G$2:$G$29),CHOOSE(MATCH($B$12,'Force Builder Lists'!$I$1:$O$1,0),'Force Builder Lists'!$I$2:$I$5,'Force Builder Lists'!$J$2:$J$5,'Force Builder Lists'!$K$2:$K$5,'Force Builder Lists'!$L$2:$L$5,'Force Builder Lists'!$M$2:$M$5,'Force Builder Lists'!$N$2:$N$5,'Force Builder Lists'!$O$2:$O$5))</x:formula1>
    </x:dataValidation>
    <x:dataValidation type="list" sqref="B7">
      <x:formula1>"Star,Binary,Trinary"</x:formula1>
    </x:dataValidation>
    <x:dataValidation type="list" sqref="F7">
      <x:formula1>"Use plan,Light,Medium,Heavy,Assault"</x:formula1>
    </x:dataValidation>
    <x:dataValidation type="whole" operator="between" sqref="C30:C33">
      <x:formula1>1</x:formula1>
      <x:formula2>6</x:formula2>
    </x:dataValidation>
  </x:dataValidations>
  <x:pageMargins left="0.7" right="0.7" top="0.75" bottom="0.75" header="0.3" footer="0.3"/>
  <x:tableParts count="2">
    <x:tablePart xmlns:r="http://schemas.openxmlformats.org/officeDocument/2006/relationships" r:id="R96cc93d5127c4ffe"/>
    <x:tablePart xmlns:r="http://schemas.openxmlformats.org/officeDocument/2006/relationships" r:id="R78ea1eda2ad24093"/>
  </x:tableParts>
</x:worksheet>
</file>

<file path=xl/worksheets/sheet2.xml><?xml version="1.0" encoding="utf-8"?>
<x:worksheet xmlns:x="http://schemas.openxmlformats.org/spreadsheetml/2006/main">
  <x:sheetFormatPr defaultRowHeight="15"/>
  <x:cols>
    <x:col min="1" max="1" width="6.28515625" style="1" customWidth="1"/>
    <x:col min="2" max="8" width="22" customWidth="1"/>
    <x:col min="9" max="9" width="18.85546875" customWidth="1"/>
  </x:cols>
  <x:sheetData>
    <x:row r="1" ht="15.75">
      <x:c r="A1" s="4" t="s">
        <x:v>19</x:v>
      </x:c>
      <x:c r="B1" s="3"/>
      <x:c r="C1" s="3"/>
      <x:c r="D1" s="3"/>
      <x:c r="E1" s="3"/>
      <x:c r="F1" s="3"/>
      <x:c r="G1" s="3"/>
      <x:c r="H1" s="3"/>
    </x:row>
    <x:row r="2">
      <x:c r="A2" s="1" t="s">
        <x:v>20</x:v>
      </x:c>
      <x:c r="B2" t="s">
        <x:v>21</x:v>
      </x:c>
      <x:c r="C2" t="s">
        <x:v>22</x:v>
      </x:c>
      <x:c r="D2" t="s">
        <x:v>23</x:v>
      </x:c>
      <x:c r="E2" t="s">
        <x:v>24</x:v>
      </x:c>
      <x:c r="F2" t="s">
        <x:v>14</x:v>
      </x:c>
      <x:c r="G2" t="s">
        <x:v>25</x:v>
      </x:c>
      <x:c r="H2" t="s">
        <x:v>26</x:v>
      </x:c>
    </x:row>
    <x:row r="3">
      <x:c r="A3" s="1">
        <x:v>2</x:v>
      </x:c>
      <x:c r="B3" t="s">
        <x:v>27</x:v>
      </x:c>
      <x:c r="C3" t="s">
        <x:v>27</x:v>
      </x:c>
      <x:c r="D3" t="s">
        <x:v>27</x:v>
      </x:c>
      <x:c r="E3" t="s">
        <x:v>27</x:v>
      </x:c>
      <x:c r="F3" t="s">
        <x:v>27</x:v>
      </x:c>
      <x:c r="G3" t="s">
        <x:v>27</x:v>
      </x:c>
      <x:c r="H3" t="s">
        <x:v>27</x:v>
      </x:c>
    </x:row>
    <x:row r="4">
      <x:c r="A4" s="1">
        <x:v>3</x:v>
      </x:c>
      <x:c r="B4" t="s">
        <x:v>28</x:v>
      </x:c>
      <x:c r="C4" t="s">
        <x:v>28</x:v>
      </x:c>
      <x:c r="D4" t="s">
        <x:v>29</x:v>
      </x:c>
      <x:c r="E4" t="s">
        <x:v>28</x:v>
      </x:c>
      <x:c r="F4" t="s">
        <x:v>28</x:v>
      </x:c>
      <x:c r="G4" t="s">
        <x:v>28</x:v>
      </x:c>
      <x:c r="H4" t="s">
        <x:v>28</x:v>
      </x:c>
    </x:row>
    <x:row r="5">
      <x:c r="A5" s="1">
        <x:v>4</x:v>
      </x:c>
      <x:c r="B5" t="s">
        <x:v>30</x:v>
      </x:c>
      <x:c r="C5" t="s">
        <x:v>30</x:v>
      </x:c>
      <x:c r="D5" t="s">
        <x:v>30</x:v>
      </x:c>
      <x:c r="E5" t="s">
        <x:v>30</x:v>
      </x:c>
      <x:c r="F5" t="s">
        <x:v>30</x:v>
      </x:c>
      <x:c r="G5" t="s">
        <x:v>30</x:v>
      </x:c>
      <x:c r="H5" t="s">
        <x:v>30</x:v>
      </x:c>
    </x:row>
    <x:row r="6">
      <x:c r="A6" s="1">
        <x:v>5</x:v>
      </x:c>
      <x:c r="B6" t="s">
        <x:v>31</x:v>
      </x:c>
      <x:c r="C6" t="s">
        <x:v>31</x:v>
      </x:c>
      <x:c r="D6" t="s">
        <x:v>31</x:v>
      </x:c>
      <x:c r="E6" t="s">
        <x:v>31</x:v>
      </x:c>
      <x:c r="F6" t="s">
        <x:v>31</x:v>
      </x:c>
      <x:c r="G6" t="s">
        <x:v>31</x:v>
      </x:c>
      <x:c r="H6" t="s">
        <x:v>31</x:v>
      </x:c>
    </x:row>
    <x:row r="7">
      <x:c r="A7" s="1">
        <x:v>6</x:v>
      </x:c>
      <x:c r="B7" t="s">
        <x:v>32</x:v>
      </x:c>
      <x:c r="C7" t="s">
        <x:v>32</x:v>
      </x:c>
      <x:c r="D7" t="s">
        <x:v>32</x:v>
      </x:c>
      <x:c r="E7" t="s">
        <x:v>32</x:v>
      </x:c>
      <x:c r="F7" t="s">
        <x:v>32</x:v>
      </x:c>
      <x:c r="G7" t="s">
        <x:v>32</x:v>
      </x:c>
      <x:c r="H7" t="s">
        <x:v>32</x:v>
      </x:c>
    </x:row>
    <x:row r="8">
      <x:c r="A8" s="1">
        <x:v>7</x:v>
      </x:c>
      <x:c r="B8" t="s">
        <x:v>33</x:v>
      </x:c>
      <x:c r="C8" t="s">
        <x:v>33</x:v>
      </x:c>
      <x:c r="D8" t="s">
        <x:v>33</x:v>
      </x:c>
      <x:c r="E8" t="s">
        <x:v>33</x:v>
      </x:c>
      <x:c r="F8" t="s">
        <x:v>33</x:v>
      </x:c>
      <x:c r="G8" t="s">
        <x:v>33</x:v>
      </x:c>
      <x:c r="H8" t="s">
        <x:v>33</x:v>
      </x:c>
    </x:row>
    <x:row r="9">
      <x:c r="A9" s="1">
        <x:v>8</x:v>
      </x:c>
      <x:c r="B9" t="s">
        <x:v>34</x:v>
      </x:c>
      <x:c r="C9" t="s">
        <x:v>34</x:v>
      </x:c>
      <x:c r="D9" t="s">
        <x:v>34</x:v>
      </x:c>
      <x:c r="E9" t="s">
        <x:v>34</x:v>
      </x:c>
      <x:c r="F9" t="s">
        <x:v>34</x:v>
      </x:c>
      <x:c r="G9" t="s">
        <x:v>34</x:v>
      </x:c>
      <x:c r="H9" t="s">
        <x:v>34</x:v>
      </x:c>
    </x:row>
    <x:row r="10">
      <x:c r="A10" s="1">
        <x:v>9</x:v>
      </x:c>
      <x:c r="B10" t="s">
        <x:v>35</x:v>
      </x:c>
      <x:c r="C10" t="s">
        <x:v>35</x:v>
      </x:c>
      <x:c r="D10" t="s">
        <x:v>35</x:v>
      </x:c>
      <x:c r="E10" t="s">
        <x:v>35</x:v>
      </x:c>
      <x:c r="F10" t="s">
        <x:v>35</x:v>
      </x:c>
      <x:c r="G10" t="s">
        <x:v>35</x:v>
      </x:c>
      <x:c r="H10" t="s">
        <x:v>35</x:v>
      </x:c>
    </x:row>
    <x:row r="11">
      <x:c r="A11" s="1">
        <x:v>10</x:v>
      </x:c>
      <x:c r="B11" t="s">
        <x:v>36</x:v>
      </x:c>
      <x:c r="C11" t="s">
        <x:v>30</x:v>
      </x:c>
      <x:c r="D11" t="s">
        <x:v>30</x:v>
      </x:c>
      <x:c r="E11" t="s">
        <x:v>30</x:v>
      </x:c>
      <x:c r="F11" t="s">
        <x:v>30</x:v>
      </x:c>
      <x:c r="G11" t="s">
        <x:v>30</x:v>
      </x:c>
      <x:c r="H11" t="s">
        <x:v>30</x:v>
      </x:c>
    </x:row>
    <x:row r="12">
      <x:c r="A12" s="1">
        <x:v>11</x:v>
      </x:c>
      <x:c r="B12" t="s">
        <x:v>37</x:v>
      </x:c>
      <x:c r="C12" t="s">
        <x:v>37</x:v>
      </x:c>
      <x:c r="D12" t="s">
        <x:v>37</x:v>
      </x:c>
      <x:c r="E12" t="s">
        <x:v>37</x:v>
      </x:c>
      <x:c r="F12" t="s">
        <x:v>37</x:v>
      </x:c>
      <x:c r="G12" t="s">
        <x:v>37</x:v>
      </x:c>
      <x:c r="H12" t="s">
        <x:v>37</x:v>
      </x:c>
    </x:row>
    <x:row r="13">
      <x:c r="A13" s="1">
        <x:v>12</x:v>
      </x:c>
      <x:c r="B13" t="s">
        <x:v>38</x:v>
      </x:c>
      <x:c r="C13" t="s">
        <x:v>38</x:v>
      </x:c>
      <x:c r="D13" t="s">
        <x:v>39</x:v>
      </x:c>
      <x:c r="E13" t="s">
        <x:v>38</x:v>
      </x:c>
      <x:c r="F13" t="s">
        <x:v>38</x:v>
      </x:c>
      <x:c r="G13" t="s">
        <x:v>38</x:v>
      </x:c>
      <x:c r="H13" t="s">
        <x:v>38</x:v>
      </x:c>
    </x:row>
    <x:row r="14">
      <x:c r="A14"/>
    </x:row>
    <x:row r="15" ht="15.75">
      <x:c r="A15" s="4" t="s">
        <x:v>40</x:v>
      </x:c>
      <x:c r="B15" s="3"/>
      <x:c r="C15" s="3"/>
      <x:c r="D15" s="3"/>
      <x:c r="E15" s="3"/>
      <x:c r="F15" s="3"/>
      <x:c r="G15" s="3"/>
      <x:c r="H15" s="3"/>
    </x:row>
    <x:row r="16">
      <x:c r="A16" s="6" t="s">
        <x:v>20</x:v>
      </x:c>
      <x:c r="B16" s="5" t="s">
        <x:v>21</x:v>
      </x:c>
      <x:c r="C16" s="5" t="s">
        <x:v>22</x:v>
      </x:c>
      <x:c r="D16" s="5" t="s">
        <x:v>23</x:v>
      </x:c>
      <x:c r="E16" s="5" t="s">
        <x:v>24</x:v>
      </x:c>
      <x:c r="F16" s="5" t="s">
        <x:v>14</x:v>
      </x:c>
      <x:c r="G16" s="5" t="s">
        <x:v>25</x:v>
      </x:c>
      <x:c r="H16" s="5" t="s">
        <x:v>26</x:v>
      </x:c>
    </x:row>
    <x:row r="17">
      <x:c r="A17" s="7">
        <x:v>2</x:v>
      </x:c>
      <x:c r="B17" s="2" t="s">
        <x:v>41</x:v>
      </x:c>
      <x:c r="C17" s="2" t="s">
        <x:v>41</x:v>
      </x:c>
      <x:c r="D17" s="2" t="s">
        <x:v>41</x:v>
      </x:c>
      <x:c r="E17" s="2" t="s">
        <x:v>41</x:v>
      </x:c>
      <x:c r="F17" s="2" t="s">
        <x:v>41</x:v>
      </x:c>
      <x:c r="G17" s="2" t="s">
        <x:v>41</x:v>
      </x:c>
      <x:c r="H17" s="2" t="s">
        <x:v>41</x:v>
      </x:c>
    </x:row>
    <x:row r="18">
      <x:c r="A18" s="7">
        <x:v>3</x:v>
      </x:c>
      <x:c r="B18" t="s">
        <x:v>42</x:v>
      </x:c>
      <x:c r="C18" t="s">
        <x:v>42</x:v>
      </x:c>
      <x:c r="D18" t="s">
        <x:v>42</x:v>
      </x:c>
      <x:c r="E18" t="s">
        <x:v>42</x:v>
      </x:c>
      <x:c r="F18" t="s">
        <x:v>42</x:v>
      </x:c>
      <x:c r="G18" t="s">
        <x:v>42</x:v>
      </x:c>
      <x:c r="H18" t="s">
        <x:v>42</x:v>
      </x:c>
    </x:row>
    <x:row r="19">
      <x:c r="A19" s="7">
        <x:v>4</x:v>
      </x:c>
      <x:c r="B19" s="2" t="s">
        <x:v>43</x:v>
      </x:c>
      <x:c r="C19" s="2" t="s">
        <x:v>43</x:v>
      </x:c>
      <x:c r="D19" s="2" t="s">
        <x:v>44</x:v>
      </x:c>
      <x:c r="E19" s="2" t="s">
        <x:v>43</x:v>
      </x:c>
      <x:c r="F19" s="2" t="s">
        <x:v>43</x:v>
      </x:c>
      <x:c r="G19" s="2" t="s">
        <x:v>43</x:v>
      </x:c>
      <x:c r="H19" s="2" t="s">
        <x:v>43</x:v>
      </x:c>
    </x:row>
    <x:row r="20">
      <x:c r="A20" s="7">
        <x:v>5</x:v>
      </x:c>
      <x:c r="B20" t="s">
        <x:v>45</x:v>
      </x:c>
      <x:c r="C20" t="s">
        <x:v>45</x:v>
      </x:c>
      <x:c r="D20" t="s">
        <x:v>45</x:v>
      </x:c>
      <x:c r="E20" t="s">
        <x:v>45</x:v>
      </x:c>
      <x:c r="F20" t="s">
        <x:v>45</x:v>
      </x:c>
      <x:c r="G20" t="s">
        <x:v>45</x:v>
      </x:c>
      <x:c r="H20" t="s">
        <x:v>45</x:v>
      </x:c>
    </x:row>
    <x:row r="21">
      <x:c r="A21" s="7">
        <x:v>6</x:v>
      </x:c>
      <x:c r="B21" s="2" t="s">
        <x:v>30</x:v>
      </x:c>
      <x:c r="C21" s="2" t="s">
        <x:v>30</x:v>
      </x:c>
      <x:c r="D21" s="2" t="s">
        <x:v>30</x:v>
      </x:c>
      <x:c r="E21" s="2" t="s">
        <x:v>30</x:v>
      </x:c>
      <x:c r="F21" s="2" t="s">
        <x:v>30</x:v>
      </x:c>
      <x:c r="G21" s="2" t="s">
        <x:v>30</x:v>
      </x:c>
      <x:c r="H21" s="2" t="s">
        <x:v>30</x:v>
      </x:c>
    </x:row>
    <x:row r="22">
      <x:c r="A22" s="7">
        <x:v>7</x:v>
      </x:c>
      <x:c r="B22" t="s">
        <x:v>46</x:v>
      </x:c>
      <x:c r="C22" t="s">
        <x:v>46</x:v>
      </x:c>
      <x:c r="D22" t="s">
        <x:v>46</x:v>
      </x:c>
      <x:c r="E22" t="s">
        <x:v>46</x:v>
      </x:c>
      <x:c r="F22" t="s">
        <x:v>46</x:v>
      </x:c>
      <x:c r="G22" t="s">
        <x:v>46</x:v>
      </x:c>
      <x:c r="H22" t="s">
        <x:v>46</x:v>
      </x:c>
    </x:row>
    <x:row r="23">
      <x:c r="A23" s="7">
        <x:v>8</x:v>
      </x:c>
      <x:c r="B23" s="2" t="s">
        <x:v>47</x:v>
      </x:c>
      <x:c r="C23" s="2" t="s">
        <x:v>47</x:v>
      </x:c>
      <x:c r="D23" s="2" t="s">
        <x:v>47</x:v>
      </x:c>
      <x:c r="E23" s="2" t="s">
        <x:v>47</x:v>
      </x:c>
      <x:c r="F23" s="2" t="s">
        <x:v>47</x:v>
      </x:c>
      <x:c r="G23" s="2" t="s">
        <x:v>47</x:v>
      </x:c>
      <x:c r="H23" s="2" t="s">
        <x:v>47</x:v>
      </x:c>
    </x:row>
    <x:row r="24">
      <x:c r="A24" s="7">
        <x:v>9</x:v>
      </x:c>
      <x:c r="B24" t="s">
        <x:v>48</x:v>
      </x:c>
      <x:c r="C24" t="s">
        <x:v>48</x:v>
      </x:c>
      <x:c r="D24" t="s">
        <x:v>48</x:v>
      </x:c>
      <x:c r="E24" t="s">
        <x:v>48</x:v>
      </x:c>
      <x:c r="F24" t="s">
        <x:v>48</x:v>
      </x:c>
      <x:c r="G24" t="s">
        <x:v>48</x:v>
      </x:c>
      <x:c r="H24" t="s">
        <x:v>48</x:v>
      </x:c>
    </x:row>
    <x:row r="25">
      <x:c r="A25" s="7">
        <x:v>10</x:v>
      </x:c>
      <x:c r="B25" s="2" t="s">
        <x:v>28</x:v>
      </x:c>
      <x:c r="C25" s="2" t="s">
        <x:v>28</x:v>
      </x:c>
      <x:c r="D25" s="2" t="s">
        <x:v>28</x:v>
      </x:c>
      <x:c r="E25" s="2" t="s">
        <x:v>28</x:v>
      </x:c>
      <x:c r="F25" s="2" t="s">
        <x:v>28</x:v>
      </x:c>
      <x:c r="G25" s="2" t="s">
        <x:v>28</x:v>
      </x:c>
      <x:c r="H25" s="2" t="s">
        <x:v>28</x:v>
      </x:c>
    </x:row>
    <x:row r="26">
      <x:c r="A26" s="7">
        <x:v>11</x:v>
      </x:c>
      <x:c r="B26" t="s">
        <x:v>36</x:v>
      </x:c>
      <x:c r="C26" t="s">
        <x:v>30</x:v>
      </x:c>
      <x:c r="D26" t="s">
        <x:v>30</x:v>
      </x:c>
      <x:c r="E26" t="s">
        <x:v>30</x:v>
      </x:c>
      <x:c r="F26" t="s">
        <x:v>30</x:v>
      </x:c>
      <x:c r="G26" t="s">
        <x:v>30</x:v>
      </x:c>
      <x:c r="H26" t="s">
        <x:v>30</x:v>
      </x:c>
    </x:row>
    <x:row r="27">
      <x:c r="A27" s="7">
        <x:v>12</x:v>
      </x:c>
      <x:c r="B27" s="2" t="s">
        <x:v>49</x:v>
      </x:c>
      <x:c r="C27" s="2" t="s">
        <x:v>49</x:v>
      </x:c>
      <x:c r="D27" s="2" t="s">
        <x:v>50</x:v>
      </x:c>
      <x:c r="E27" s="2" t="s">
        <x:v>49</x:v>
      </x:c>
      <x:c r="F27" s="2" t="s">
        <x:v>49</x:v>
      </x:c>
      <x:c r="G27" s="2" t="s">
        <x:v>49</x:v>
      </x:c>
      <x:c r="H27" s="2" t="s">
        <x:v>49</x:v>
      </x:c>
    </x:row>
    <x:row r="28">
      <x:c r="A28"/>
    </x:row>
    <x:row r="29" ht="15.75">
      <x:c r="A29" s="4" t="s">
        <x:v>51</x:v>
      </x:c>
      <x:c r="B29" s="3"/>
      <x:c r="C29" s="3"/>
      <x:c r="D29" s="3"/>
      <x:c r="E29" s="3"/>
      <x:c r="F29" s="3"/>
      <x:c r="G29" s="3"/>
      <x:c r="H29" s="3"/>
    </x:row>
    <x:row r="30">
      <x:c r="A30" s="1" t="s">
        <x:v>20</x:v>
      </x:c>
      <x:c r="B30" t="s">
        <x:v>21</x:v>
      </x:c>
      <x:c r="C30" t="s">
        <x:v>22</x:v>
      </x:c>
      <x:c r="D30" t="s">
        <x:v>23</x:v>
      </x:c>
      <x:c r="E30" t="s">
        <x:v>24</x:v>
      </x:c>
      <x:c r="F30" t="s">
        <x:v>14</x:v>
      </x:c>
      <x:c r="G30" t="s">
        <x:v>25</x:v>
      </x:c>
      <x:c r="H30" t="s">
        <x:v>26</x:v>
      </x:c>
    </x:row>
    <x:row r="31">
      <x:c r="A31" s="1">
        <x:v>2</x:v>
      </x:c>
      <x:c r="B31" t="s">
        <x:v>46</x:v>
      </x:c>
      <x:c r="C31" t="s">
        <x:v>46</x:v>
      </x:c>
      <x:c r="D31" t="s">
        <x:v>46</x:v>
      </x:c>
      <x:c r="E31" t="s">
        <x:v>46</x:v>
      </x:c>
      <x:c r="F31" t="s">
        <x:v>46</x:v>
      </x:c>
      <x:c r="G31" t="s">
        <x:v>46</x:v>
      </x:c>
      <x:c r="H31" t="s">
        <x:v>46</x:v>
      </x:c>
    </x:row>
    <x:row r="32">
      <x:c r="A32" s="1">
        <x:v>3</x:v>
      </x:c>
      <x:c r="B32" t="s">
        <x:v>31</x:v>
      </x:c>
      <x:c r="C32" t="s">
        <x:v>31</x:v>
      </x:c>
      <x:c r="D32" t="s">
        <x:v>31</x:v>
      </x:c>
      <x:c r="E32" t="s">
        <x:v>31</x:v>
      </x:c>
      <x:c r="F32" t="s">
        <x:v>31</x:v>
      </x:c>
      <x:c r="G32" t="s">
        <x:v>31</x:v>
      </x:c>
      <x:c r="H32" t="s">
        <x:v>31</x:v>
      </x:c>
    </x:row>
    <x:row r="33">
      <x:c r="A33" s="1">
        <x:v>4</x:v>
      </x:c>
      <x:c r="B33" t="s">
        <x:v>52</x:v>
      </x:c>
      <x:c r="C33" t="s">
        <x:v>52</x:v>
      </x:c>
      <x:c r="D33" t="s">
        <x:v>52</x:v>
      </x:c>
      <x:c r="E33" t="s">
        <x:v>52</x:v>
      </x:c>
      <x:c r="F33" t="s">
        <x:v>52</x:v>
      </x:c>
      <x:c r="G33" t="s">
        <x:v>52</x:v>
      </x:c>
      <x:c r="H33" t="s">
        <x:v>52</x:v>
      </x:c>
    </x:row>
    <x:row r="34">
      <x:c r="A34" s="1">
        <x:v>5</x:v>
      </x:c>
      <x:c r="B34" t="s">
        <x:v>53</x:v>
      </x:c>
      <x:c r="C34" t="s">
        <x:v>53</x:v>
      </x:c>
      <x:c r="D34" t="s">
        <x:v>53</x:v>
      </x:c>
      <x:c r="E34" t="s">
        <x:v>53</x:v>
      </x:c>
      <x:c r="F34" t="s">
        <x:v>53</x:v>
      </x:c>
      <x:c r="G34" t="s">
        <x:v>53</x:v>
      </x:c>
      <x:c r="H34" t="s">
        <x:v>53</x:v>
      </x:c>
    </x:row>
    <x:row r="35">
      <x:c r="A35" s="1">
        <x:v>6</x:v>
      </x:c>
      <x:c r="B35" t="s">
        <x:v>54</x:v>
      </x:c>
      <x:c r="C35" t="s">
        <x:v>54</x:v>
      </x:c>
      <x:c r="D35" t="s">
        <x:v>54</x:v>
      </x:c>
      <x:c r="E35" t="s">
        <x:v>54</x:v>
      </x:c>
      <x:c r="F35" t="s">
        <x:v>54</x:v>
      </x:c>
      <x:c r="G35" t="s">
        <x:v>54</x:v>
      </x:c>
      <x:c r="H35" t="s">
        <x:v>54</x:v>
      </x:c>
    </x:row>
    <x:row r="36">
      <x:c r="A36" s="1">
        <x:v>7</x:v>
      </x:c>
      <x:c r="B36" t="s">
        <x:v>42</x:v>
      </x:c>
      <x:c r="C36" t="s">
        <x:v>42</x:v>
      </x:c>
      <x:c r="D36" t="s">
        <x:v>42</x:v>
      </x:c>
      <x:c r="E36" t="s">
        <x:v>42</x:v>
      </x:c>
      <x:c r="F36" t="s">
        <x:v>42</x:v>
      </x:c>
      <x:c r="G36" t="s">
        <x:v>42</x:v>
      </x:c>
      <x:c r="H36" t="s">
        <x:v>42</x:v>
      </x:c>
    </x:row>
    <x:row r="37">
      <x:c r="A37" s="1">
        <x:v>8</x:v>
      </x:c>
      <x:c r="B37" t="s">
        <x:v>55</x:v>
      </x:c>
      <x:c r="C37" t="s">
        <x:v>55</x:v>
      </x:c>
      <x:c r="D37" t="s">
        <x:v>55</x:v>
      </x:c>
      <x:c r="E37" t="s">
        <x:v>55</x:v>
      </x:c>
      <x:c r="F37" t="s">
        <x:v>55</x:v>
      </x:c>
      <x:c r="G37" t="s">
        <x:v>55</x:v>
      </x:c>
      <x:c r="H37" t="s">
        <x:v>55</x:v>
      </x:c>
    </x:row>
    <x:row r="38">
      <x:c r="A38" s="1">
        <x:v>9</x:v>
      </x:c>
      <x:c r="B38" t="s">
        <x:v>37</x:v>
      </x:c>
      <x:c r="C38" t="s">
        <x:v>37</x:v>
      </x:c>
      <x:c r="D38" t="s">
        <x:v>56</x:v>
      </x:c>
      <x:c r="E38" t="s">
        <x:v>37</x:v>
      </x:c>
      <x:c r="F38" t="s">
        <x:v>37</x:v>
      </x:c>
      <x:c r="G38" t="s">
        <x:v>37</x:v>
      </x:c>
      <x:c r="H38" t="s">
        <x:v>37</x:v>
      </x:c>
    </x:row>
    <x:row r="39">
      <x:c r="A39" s="1">
        <x:v>10</x:v>
      </x:c>
      <x:c r="B39" t="s">
        <x:v>57</x:v>
      </x:c>
      <x:c r="C39" t="s">
        <x:v>57</x:v>
      </x:c>
      <x:c r="D39" t="s">
        <x:v>57</x:v>
      </x:c>
      <x:c r="E39" t="s">
        <x:v>57</x:v>
      </x:c>
      <x:c r="F39" t="s">
        <x:v>57</x:v>
      </x:c>
      <x:c r="G39" t="s">
        <x:v>57</x:v>
      </x:c>
      <x:c r="H39" t="s">
        <x:v>57</x:v>
      </x:c>
    </x:row>
    <x:row r="40">
      <x:c r="A40" s="1">
        <x:v>11</x:v>
      </x:c>
      <x:c r="B40" t="s">
        <x:v>58</x:v>
      </x:c>
      <x:c r="C40" t="s">
        <x:v>58</x:v>
      </x:c>
      <x:c r="D40" t="s">
        <x:v>58</x:v>
      </x:c>
      <x:c r="E40" t="s">
        <x:v>58</x:v>
      </x:c>
      <x:c r="F40" t="s">
        <x:v>58</x:v>
      </x:c>
      <x:c r="G40" t="s">
        <x:v>58</x:v>
      </x:c>
      <x:c r="H40" t="s">
        <x:v>58</x:v>
      </x:c>
    </x:row>
    <x:row r="41">
      <x:c r="A41" s="1">
        <x:v>12</x:v>
      </x:c>
      <x:c r="B41" t="s">
        <x:v>59</x:v>
      </x:c>
      <x:c r="C41" t="s">
        <x:v>59</x:v>
      </x:c>
      <x:c r="D41" t="s">
        <x:v>59</x:v>
      </x:c>
      <x:c r="E41" t="s">
        <x:v>59</x:v>
      </x:c>
      <x:c r="F41" t="s">
        <x:v>59</x:v>
      </x:c>
      <x:c r="G41" t="s">
        <x:v>59</x:v>
      </x:c>
      <x:c r="H41" t="s">
        <x:v>59</x:v>
      </x:c>
    </x:row>
    <x:row r="42">
      <x:c r="A42"/>
    </x:row>
    <x:row r="43" ht="21">
      <x:c r="A43" s="8" t="s">
        <x:v>60</x:v>
      </x:c>
      <x:c r="B43" s="3"/>
      <x:c r="C43" s="3"/>
      <x:c r="D43" s="3"/>
      <x:c r="E43" s="3"/>
      <x:c r="F43" s="3"/>
      <x:c r="G43" s="3"/>
      <x:c r="H43" s="3"/>
    </x:row>
    <x:row r="44" ht="15.75">
      <x:c r="A44" s="4" t="s">
        <x:v>19</x:v>
      </x:c>
      <x:c r="B44" s="3"/>
      <x:c r="C44" s="3"/>
      <x:c r="D44" s="3"/>
      <x:c r="E44" s="3"/>
      <x:c r="F44" s="3"/>
      <x:c r="G44" s="3"/>
      <x:c r="H44" s="3"/>
    </x:row>
    <x:row r="45">
      <x:c r="A45" s="1" t="s">
        <x:v>61</x:v>
      </x:c>
      <x:c r="B45" s="1" t="s">
        <x:v>21</x:v>
      </x:c>
      <x:c r="C45" s="1" t="s">
        <x:v>22</x:v>
      </x:c>
      <x:c r="D45" s="1" t="s">
        <x:v>23</x:v>
      </x:c>
      <x:c r="E45" s="1" t="s">
        <x:v>24</x:v>
      </x:c>
      <x:c r="F45" s="1" t="s">
        <x:v>14</x:v>
      </x:c>
      <x:c r="G45" s="1" t="s">
        <x:v>25</x:v>
      </x:c>
      <x:c r="H45" s="1" t="s">
        <x:v>26</x:v>
      </x:c>
    </x:row>
    <x:row r="46">
      <x:c r="A46" s="1">
        <x:v>1</x:v>
      </x:c>
      <x:c r="B46" s="1" t="s">
        <x:v>62</x:v>
      </x:c>
      <x:c r="C46" s="1" t="s">
        <x:v>62</x:v>
      </x:c>
      <x:c r="D46" s="1" t="s">
        <x:v>62</x:v>
      </x:c>
      <x:c r="E46" s="1" t="s">
        <x:v>62</x:v>
      </x:c>
      <x:c r="F46" s="1" t="s">
        <x:v>62</x:v>
      </x:c>
      <x:c r="G46" s="1" t="s">
        <x:v>62</x:v>
      </x:c>
      <x:c r="H46" s="1" t="s">
        <x:v>62</x:v>
      </x:c>
    </x:row>
    <x:row r="47">
      <x:c r="A47" s="1">
        <x:v>2</x:v>
      </x:c>
      <x:c r="B47" s="1" t="s">
        <x:v>63</x:v>
      </x:c>
      <x:c r="C47" s="1" t="s">
        <x:v>63</x:v>
      </x:c>
      <x:c r="D47" s="1" t="s">
        <x:v>63</x:v>
      </x:c>
      <x:c r="E47" s="1" t="s">
        <x:v>63</x:v>
      </x:c>
      <x:c r="F47" s="1" t="s">
        <x:v>63</x:v>
      </x:c>
      <x:c r="G47" s="1" t="s">
        <x:v>63</x:v>
      </x:c>
      <x:c r="H47" s="1" t="s">
        <x:v>63</x:v>
      </x:c>
    </x:row>
    <x:row r="48">
      <x:c r="A48" s="1">
        <x:v>3</x:v>
      </x:c>
      <x:c r="B48" s="1" t="s">
        <x:v>64</x:v>
      </x:c>
      <x:c r="C48" s="1" t="s">
        <x:v>64</x:v>
      </x:c>
      <x:c r="D48" s="1" t="s">
        <x:v>64</x:v>
      </x:c>
      <x:c r="E48" s="1" t="s">
        <x:v>65</x:v>
      </x:c>
      <x:c r="F48" s="1" t="s">
        <x:v>64</x:v>
      </x:c>
      <x:c r="G48" s="1" t="s">
        <x:v>64</x:v>
      </x:c>
      <x:c r="H48" s="1" t="s">
        <x:v>64</x:v>
      </x:c>
    </x:row>
    <x:row r="49">
      <x:c r="A49" s="1">
        <x:v>4</x:v>
      </x:c>
      <x:c r="B49" s="1" t="s">
        <x:v>66</x:v>
      </x:c>
      <x:c r="C49" s="1" t="s">
        <x:v>66</x:v>
      </x:c>
      <x:c r="D49" s="1" t="s">
        <x:v>67</x:v>
      </x:c>
      <x:c r="E49" s="1" t="s">
        <x:v>68</x:v>
      </x:c>
      <x:c r="F49" s="1" t="s">
        <x:v>66</x:v>
      </x:c>
      <x:c r="G49" s="1" t="s">
        <x:v>66</x:v>
      </x:c>
      <x:c r="H49" s="1" t="s">
        <x:v>66</x:v>
      </x:c>
    </x:row>
    <x:row r="50">
      <x:c r="A50" s="1">
        <x:v>5</x:v>
      </x:c>
      <x:c r="B50" s="1" t="s">
        <x:v>69</x:v>
      </x:c>
      <x:c r="C50" s="1" t="s">
        <x:v>69</x:v>
      </x:c>
      <x:c r="D50" s="1" t="s">
        <x:v>69</x:v>
      </x:c>
      <x:c r="E50" s="1" t="s">
        <x:v>70</x:v>
      </x:c>
      <x:c r="F50" s="1" t="s">
        <x:v>69</x:v>
      </x:c>
      <x:c r="G50" s="1" t="s">
        <x:v>69</x:v>
      </x:c>
      <x:c r="H50" s="1" t="s">
        <x:v>69</x:v>
      </x:c>
    </x:row>
    <x:row r="51">
      <x:c r="A51" s="1">
        <x:v>6</x:v>
      </x:c>
      <x:c r="B51" s="1" t="s">
        <x:v>63</x:v>
      </x:c>
      <x:c r="C51" s="1" t="s">
        <x:v>63</x:v>
      </x:c>
      <x:c r="D51" s="1" t="s">
        <x:v>71</x:v>
      </x:c>
      <x:c r="E51" s="1" t="s">
        <x:v>63</x:v>
      </x:c>
      <x:c r="F51" s="1" t="s">
        <x:v>63</x:v>
      </x:c>
      <x:c r="G51" s="1" t="s">
        <x:v>63</x:v>
      </x:c>
      <x:c r="H51" s="1" t="s">
        <x:v>63</x:v>
      </x:c>
    </x:row>
    <x:row r="52">
      <x:c r="A52"/>
      <x:c r="B52" s="1"/>
      <x:c r="C52" s="1"/>
      <x:c r="D52" s="1"/>
      <x:c r="E52" s="1"/>
      <x:c r="F52" s="1"/>
      <x:c r="G52" s="1"/>
      <x:c r="H52" s="1"/>
    </x:row>
    <x:row r="53" ht="15.75">
      <x:c r="A53" s="4" t="s">
        <x:v>40</x:v>
      </x:c>
      <x:c r="B53" s="3"/>
      <x:c r="C53" s="3"/>
      <x:c r="D53" s="3"/>
      <x:c r="E53" s="3"/>
      <x:c r="F53" s="3"/>
      <x:c r="G53" s="3"/>
      <x:c r="H53" s="3"/>
    </x:row>
    <x:row r="54">
      <x:c r="A54" s="1" t="s">
        <x:v>61</x:v>
      </x:c>
      <x:c r="B54" s="1" t="s">
        <x:v>21</x:v>
      </x:c>
      <x:c r="C54" s="1" t="s">
        <x:v>22</x:v>
      </x:c>
      <x:c r="D54" s="1" t="s">
        <x:v>23</x:v>
      </x:c>
      <x:c r="E54" s="1" t="s">
        <x:v>24</x:v>
      </x:c>
      <x:c r="F54" s="1" t="s">
        <x:v>14</x:v>
      </x:c>
      <x:c r="G54" s="1" t="s">
        <x:v>25</x:v>
      </x:c>
      <x:c r="H54" s="1" t="s">
        <x:v>26</x:v>
      </x:c>
    </x:row>
    <x:row r="55">
      <x:c r="A55" s="1">
        <x:v>1</x:v>
      </x:c>
      <x:c r="B55" s="1" t="s">
        <x:v>66</x:v>
      </x:c>
      <x:c r="C55" s="1" t="s">
        <x:v>66</x:v>
      </x:c>
      <x:c r="D55" s="1" t="s">
        <x:v>66</x:v>
      </x:c>
      <x:c r="E55" s="1" t="s">
        <x:v>66</x:v>
      </x:c>
      <x:c r="F55" s="1" t="s">
        <x:v>66</x:v>
      </x:c>
      <x:c r="G55" s="1" t="s">
        <x:v>66</x:v>
      </x:c>
      <x:c r="H55" s="1" t="s">
        <x:v>66</x:v>
      </x:c>
    </x:row>
    <x:row r="56">
      <x:c r="A56" s="1">
        <x:v>2</x:v>
      </x:c>
      <x:c r="B56" s="1" t="s">
        <x:v>63</x:v>
      </x:c>
      <x:c r="C56" s="1" t="s">
        <x:v>63</x:v>
      </x:c>
      <x:c r="D56" s="1" t="s">
        <x:v>63</x:v>
      </x:c>
      <x:c r="E56" s="1" t="s">
        <x:v>63</x:v>
      </x:c>
      <x:c r="F56" s="1" t="s">
        <x:v>63</x:v>
      </x:c>
      <x:c r="G56" s="1" t="s">
        <x:v>63</x:v>
      </x:c>
      <x:c r="H56" s="1" t="s">
        <x:v>63</x:v>
      </x:c>
    </x:row>
    <x:row r="57">
      <x:c r="A57" s="1">
        <x:v>3</x:v>
      </x:c>
      <x:c r="B57" s="1" t="s">
        <x:v>62</x:v>
      </x:c>
      <x:c r="C57" s="1" t="s">
        <x:v>62</x:v>
      </x:c>
      <x:c r="D57" s="1" t="s">
        <x:v>62</x:v>
      </x:c>
      <x:c r="E57" s="1" t="s">
        <x:v>62</x:v>
      </x:c>
      <x:c r="F57" s="1" t="s">
        <x:v>72</x:v>
      </x:c>
      <x:c r="G57" s="1" t="s">
        <x:v>62</x:v>
      </x:c>
      <x:c r="H57" s="1" t="s">
        <x:v>62</x:v>
      </x:c>
    </x:row>
    <x:row r="58">
      <x:c r="A58" s="1">
        <x:v>4</x:v>
      </x:c>
      <x:c r="B58" s="1" t="s">
        <x:v>73</x:v>
      </x:c>
      <x:c r="C58" s="1" t="s">
        <x:v>73</x:v>
      </x:c>
      <x:c r="D58" s="1" t="s">
        <x:v>73</x:v>
      </x:c>
      <x:c r="E58" s="1" t="s">
        <x:v>73</x:v>
      </x:c>
      <x:c r="F58" s="1" t="s">
        <x:v>73</x:v>
      </x:c>
      <x:c r="G58" s="1" t="s">
        <x:v>73</x:v>
      </x:c>
      <x:c r="H58" s="1" t="s">
        <x:v>73</x:v>
      </x:c>
    </x:row>
    <x:row r="59">
      <x:c r="A59" s="1">
        <x:v>5</x:v>
      </x:c>
      <x:c r="B59" s="1" t="s">
        <x:v>69</x:v>
      </x:c>
      <x:c r="C59" s="1" t="s">
        <x:v>69</x:v>
      </x:c>
      <x:c r="D59" s="1" t="s">
        <x:v>71</x:v>
      </x:c>
      <x:c r="E59" s="1" t="s">
        <x:v>69</x:v>
      </x:c>
      <x:c r="F59" s="1" t="s">
        <x:v>69</x:v>
      </x:c>
      <x:c r="G59" s="1" t="s">
        <x:v>69</x:v>
      </x:c>
      <x:c r="H59" s="1" t="s">
        <x:v>69</x:v>
      </x:c>
    </x:row>
    <x:row r="60">
      <x:c r="A60" s="1">
        <x:v>6</x:v>
      </x:c>
      <x:c r="B60" s="1" t="s">
        <x:v>74</x:v>
      </x:c>
      <x:c r="C60" s="1" t="s">
        <x:v>74</x:v>
      </x:c>
      <x:c r="D60" s="1" t="s">
        <x:v>74</x:v>
      </x:c>
      <x:c r="E60" s="1" t="s">
        <x:v>74</x:v>
      </x:c>
      <x:c r="F60" s="1" t="s">
        <x:v>74</x:v>
      </x:c>
      <x:c r="G60" s="1" t="s">
        <x:v>74</x:v>
      </x:c>
      <x:c r="H60" s="1" t="s">
        <x:v>74</x:v>
      </x:c>
    </x:row>
    <x:row r="61">
      <x:c r="A61"/>
      <x:c r="B61" s="1"/>
      <x:c r="C61" s="1"/>
      <x:c r="D61" s="1"/>
      <x:c r="E61" s="1"/>
      <x:c r="F61" s="1"/>
      <x:c r="G61" s="1"/>
      <x:c r="H61" s="1"/>
    </x:row>
    <x:row r="62" ht="15.75">
      <x:c r="A62" s="4" t="s">
        <x:v>51</x:v>
      </x:c>
      <x:c r="B62" s="3"/>
      <x:c r="C62" s="3"/>
      <x:c r="D62" s="3"/>
      <x:c r="E62" s="3"/>
      <x:c r="F62" s="3"/>
      <x:c r="G62" s="3"/>
      <x:c r="H62" s="3"/>
    </x:row>
    <x:row r="63">
      <x:c r="A63" s="1" t="s">
        <x:v>61</x:v>
      </x:c>
      <x:c r="B63" s="1" t="s">
        <x:v>21</x:v>
      </x:c>
      <x:c r="C63" s="1" t="s">
        <x:v>22</x:v>
      </x:c>
      <x:c r="D63" s="1" t="s">
        <x:v>23</x:v>
      </x:c>
      <x:c r="E63" s="1" t="s">
        <x:v>24</x:v>
      </x:c>
      <x:c r="F63" s="1" t="s">
        <x:v>14</x:v>
      </x:c>
      <x:c r="G63" s="1" t="s">
        <x:v>25</x:v>
      </x:c>
      <x:c r="H63" s="1" t="s">
        <x:v>26</x:v>
      </x:c>
    </x:row>
    <x:row r="64">
      <x:c r="A64" s="1">
        <x:v>1</x:v>
      </x:c>
      <x:c r="B64" s="1" t="s">
        <x:v>75</x:v>
      </x:c>
      <x:c r="C64" s="1" t="s">
        <x:v>76</x:v>
      </x:c>
      <x:c r="D64" s="1" t="s">
        <x:v>75</x:v>
      </x:c>
      <x:c r="E64" s="1" t="s">
        <x:v>75</x:v>
      </x:c>
      <x:c r="F64" s="1" t="s">
        <x:v>75</x:v>
      </x:c>
      <x:c r="G64" s="1" t="s">
        <x:v>75</x:v>
      </x:c>
      <x:c r="H64" s="1" t="s">
        <x:v>75</x:v>
      </x:c>
    </x:row>
    <x:row r="65">
      <x:c r="A65" s="1">
        <x:v>2</x:v>
      </x:c>
      <x:c r="B65" s="1" t="s">
        <x:v>77</x:v>
      </x:c>
      <x:c r="C65" s="1" t="s">
        <x:v>77</x:v>
      </x:c>
      <x:c r="D65" s="1" t="s">
        <x:v>77</x:v>
      </x:c>
      <x:c r="E65" s="1" t="s">
        <x:v>77</x:v>
      </x:c>
      <x:c r="F65" s="1" t="s">
        <x:v>78</x:v>
      </x:c>
      <x:c r="G65" s="1" t="s">
        <x:v>77</x:v>
      </x:c>
      <x:c r="H65" s="1" t="s">
        <x:v>77</x:v>
      </x:c>
    </x:row>
    <x:row r="66">
      <x:c r="A66" s="1">
        <x:v>3</x:v>
      </x:c>
      <x:c r="B66" s="1" t="s">
        <x:v>79</x:v>
      </x:c>
      <x:c r="C66" s="1" t="s">
        <x:v>79</x:v>
      </x:c>
      <x:c r="D66" s="1" t="s">
        <x:v>79</x:v>
      </x:c>
      <x:c r="E66" s="1" t="s">
        <x:v>79</x:v>
      </x:c>
      <x:c r="F66" s="1" t="s">
        <x:v>79</x:v>
      </x:c>
      <x:c r="G66" s="1" t="s">
        <x:v>79</x:v>
      </x:c>
      <x:c r="H66" s="1" t="s">
        <x:v>80</x:v>
      </x:c>
    </x:row>
    <x:row r="67">
      <x:c r="A67" s="1">
        <x:v>4</x:v>
      </x:c>
      <x:c r="B67" s="1" t="s">
        <x:v>81</x:v>
      </x:c>
      <x:c r="C67" s="1" t="s">
        <x:v>81</x:v>
      </x:c>
      <x:c r="D67" s="1" t="s">
        <x:v>82</x:v>
      </x:c>
      <x:c r="E67" s="1" t="s">
        <x:v>81</x:v>
      </x:c>
      <x:c r="F67" s="1" t="s">
        <x:v>81</x:v>
      </x:c>
      <x:c r="G67" s="1" t="s">
        <x:v>81</x:v>
      </x:c>
      <x:c r="H67" s="1" t="s">
        <x:v>81</x:v>
      </x:c>
    </x:row>
    <x:row r="68">
      <x:c r="A68" s="1">
        <x:v>5</x:v>
      </x:c>
      <x:c r="B68" s="1" t="s">
        <x:v>83</x:v>
      </x:c>
      <x:c r="C68" s="1" t="s">
        <x:v>83</x:v>
      </x:c>
      <x:c r="D68" s="1" t="s">
        <x:v>83</x:v>
      </x:c>
      <x:c r="E68" s="1" t="s">
        <x:v>83</x:v>
      </x:c>
      <x:c r="F68" s="1" t="s">
        <x:v>72</x:v>
      </x:c>
      <x:c r="G68" s="1" t="s">
        <x:v>83</x:v>
      </x:c>
      <x:c r="H68" s="1" t="s">
        <x:v>83</x:v>
      </x:c>
    </x:row>
    <x:row r="69">
      <x:c r="A69" s="1">
        <x:v>6</x:v>
      </x:c>
      <x:c r="B69" s="1" t="s">
        <x:v>84</x:v>
      </x:c>
      <x:c r="C69" s="1" t="s">
        <x:v>85</x:v>
      </x:c>
      <x:c r="D69" s="1" t="s">
        <x:v>85</x:v>
      </x:c>
      <x:c r="E69" s="1" t="s">
        <x:v>85</x:v>
      </x:c>
      <x:c r="F69" s="1" t="s">
        <x:v>85</x:v>
      </x:c>
      <x:c r="G69" s="1" t="s">
        <x:v>85</x:v>
      </x:c>
      <x:c r="H69" s="1" t="s">
        <x:v>85</x:v>
      </x:c>
    </x:row>
    <x:row r="70">
      <x:c r="A70"/>
      <x:c r="B70" s="1"/>
      <x:c r="C70" s="1"/>
      <x:c r="D70" s="1"/>
      <x:c r="E70" s="1"/>
      <x:c r="F70" s="1"/>
      <x:c r="G70" s="1"/>
      <x:c r="H70" s="1"/>
    </x:row>
    <x:row r="71">
      <x:c r="A71"/>
      <x:c r="B71" s="1"/>
      <x:c r="C71" s="1"/>
      <x:c r="D71" s="1"/>
      <x:c r="E71" s="1"/>
      <x:c r="F71" s="1"/>
      <x:c r="G71" s="1"/>
      <x:c r="H71" s="1"/>
    </x:row>
  </x:sheetData>
  <x:pageMargins left="0.7" right="0.7" top="0.75" bottom="0.75" header="0.3" footer="0.3"/>
  <x:tableParts count="6">
    <x:tablePart xmlns:r="http://schemas.openxmlformats.org/officeDocument/2006/relationships" r:id="Rfdfa9a2754fd4df1"/>
    <x:tablePart xmlns:r="http://schemas.openxmlformats.org/officeDocument/2006/relationships" r:id="R8d13c42d45924ff2"/>
    <x:tablePart xmlns:r="http://schemas.openxmlformats.org/officeDocument/2006/relationships" r:id="R6819bd8c51584c80"/>
    <x:tablePart xmlns:r="http://schemas.openxmlformats.org/officeDocument/2006/relationships" r:id="R4fcac07beb20406a"/>
    <x:tablePart xmlns:r="http://schemas.openxmlformats.org/officeDocument/2006/relationships" r:id="R4f71ab5976be46c9"/>
    <x:tablePart xmlns:r="http://schemas.openxmlformats.org/officeDocument/2006/relationships" r:id="Rb36fcb5a189c4ce0"/>
  </x:tableParts>
</x:worksheet>
</file>

<file path=xl/worksheets/sheet3.xml><?xml version="1.0" encoding="utf-8"?>
<x:worksheet xmlns:x="http://schemas.openxmlformats.org/spreadsheetml/2006/main">
  <x:sheetFormatPr defaultRowHeight="15"/>
  <x:cols>
    <x:col min="1" max="1" width="6.28515625" style="1" customWidth="1"/>
    <x:col min="2" max="8" width="22" customWidth="1"/>
    <x:col min="9" max="9" width="17.28515625" customWidth="1"/>
  </x:cols>
  <x:sheetData>
    <x:row r="1" ht="15.75">
      <x:c r="A1" s="4" t="s">
        <x:v>86</x:v>
      </x:c>
      <x:c r="B1" s="4"/>
      <x:c r="C1" s="4"/>
      <x:c r="D1" s="4"/>
      <x:c r="E1" s="4"/>
      <x:c r="F1" s="4"/>
      <x:c r="G1" s="4"/>
      <x:c r="H1" s="4"/>
    </x:row>
    <x:row r="2">
      <x:c r="A2" s="1" t="s">
        <x:v>20</x:v>
      </x:c>
      <x:c r="B2" t="s">
        <x:v>21</x:v>
      </x:c>
      <x:c r="C2" t="s">
        <x:v>22</x:v>
      </x:c>
      <x:c r="D2" t="s">
        <x:v>23</x:v>
      </x:c>
      <x:c r="E2" t="s">
        <x:v>24</x:v>
      </x:c>
      <x:c r="F2" t="s">
        <x:v>14</x:v>
      </x:c>
      <x:c r="G2" t="s">
        <x:v>25</x:v>
      </x:c>
      <x:c r="H2" t="s">
        <x:v>26</x:v>
      </x:c>
    </x:row>
    <x:row r="3">
      <x:c r="A3" s="1">
        <x:v>2</x:v>
      </x:c>
      <x:c r="B3" t="s">
        <x:v>87</x:v>
      </x:c>
      <x:c r="C3" t="s">
        <x:v>87</x:v>
      </x:c>
      <x:c r="D3" t="s">
        <x:v>87</x:v>
      </x:c>
      <x:c r="E3" t="s">
        <x:v>87</x:v>
      </x:c>
      <x:c r="F3" t="s">
        <x:v>87</x:v>
      </x:c>
      <x:c r="G3" t="s">
        <x:v>87</x:v>
      </x:c>
      <x:c r="H3" t="s">
        <x:v>87</x:v>
      </x:c>
    </x:row>
    <x:row r="4">
      <x:c r="A4" s="1">
        <x:v>3</x:v>
      </x:c>
      <x:c r="B4" t="s">
        <x:v>88</x:v>
      </x:c>
      <x:c r="C4" t="s">
        <x:v>88</x:v>
      </x:c>
      <x:c r="D4" t="s">
        <x:v>88</x:v>
      </x:c>
      <x:c r="E4" t="s">
        <x:v>88</x:v>
      </x:c>
      <x:c r="F4" t="s">
        <x:v>88</x:v>
      </x:c>
      <x:c r="G4" t="s">
        <x:v>88</x:v>
      </x:c>
      <x:c r="H4" t="s">
        <x:v>88</x:v>
      </x:c>
    </x:row>
    <x:row r="5">
      <x:c r="A5" s="1">
        <x:v>4</x:v>
      </x:c>
      <x:c r="B5" t="s">
        <x:v>89</x:v>
      </x:c>
      <x:c r="C5" t="s">
        <x:v>89</x:v>
      </x:c>
      <x:c r="D5" t="s">
        <x:v>89</x:v>
      </x:c>
      <x:c r="E5" t="s">
        <x:v>89</x:v>
      </x:c>
      <x:c r="F5" t="s">
        <x:v>89</x:v>
      </x:c>
      <x:c r="G5" t="s">
        <x:v>89</x:v>
      </x:c>
      <x:c r="H5" t="s">
        <x:v>89</x:v>
      </x:c>
    </x:row>
    <x:row r="6">
      <x:c r="A6" s="1">
        <x:v>5</x:v>
      </x:c>
      <x:c r="B6" t="s">
        <x:v>88</x:v>
      </x:c>
      <x:c r="C6" t="s">
        <x:v>88</x:v>
      </x:c>
      <x:c r="D6" t="s">
        <x:v>88</x:v>
      </x:c>
      <x:c r="E6" t="s">
        <x:v>88</x:v>
      </x:c>
      <x:c r="F6" t="s">
        <x:v>88</x:v>
      </x:c>
      <x:c r="G6" t="s">
        <x:v>88</x:v>
      </x:c>
      <x:c r="H6" t="s">
        <x:v>88</x:v>
      </x:c>
    </x:row>
    <x:row r="7">
      <x:c r="A7" s="1">
        <x:v>6</x:v>
      </x:c>
      <x:c r="B7" t="s">
        <x:v>90</x:v>
      </x:c>
      <x:c r="C7" t="s">
        <x:v>90</x:v>
      </x:c>
      <x:c r="D7" t="s">
        <x:v>90</x:v>
      </x:c>
      <x:c r="E7" t="s">
        <x:v>91</x:v>
      </x:c>
      <x:c r="F7" t="s">
        <x:v>91</x:v>
      </x:c>
      <x:c r="G7" t="s">
        <x:v>90</x:v>
      </x:c>
      <x:c r="H7" t="s">
        <x:v>90</x:v>
      </x:c>
    </x:row>
    <x:row r="8">
      <x:c r="A8" s="1">
        <x:v>7</x:v>
      </x:c>
      <x:c r="B8" t="s">
        <x:v>92</x:v>
      </x:c>
      <x:c r="C8" t="s">
        <x:v>92</x:v>
      </x:c>
      <x:c r="D8" t="s">
        <x:v>92</x:v>
      </x:c>
      <x:c r="E8" t="s">
        <x:v>92</x:v>
      </x:c>
      <x:c r="F8" t="s">
        <x:v>92</x:v>
      </x:c>
      <x:c r="G8" t="s">
        <x:v>92</x:v>
      </x:c>
      <x:c r="H8" t="s">
        <x:v>92</x:v>
      </x:c>
    </x:row>
    <x:row r="9">
      <x:c r="A9" s="1">
        <x:v>8</x:v>
      </x:c>
      <x:c r="B9" t="s">
        <x:v>89</x:v>
      </x:c>
      <x:c r="C9" t="s">
        <x:v>89</x:v>
      </x:c>
      <x:c r="D9" t="s">
        <x:v>89</x:v>
      </x:c>
      <x:c r="E9" t="s">
        <x:v>89</x:v>
      </x:c>
      <x:c r="F9" t="s">
        <x:v>89</x:v>
      </x:c>
      <x:c r="G9" t="s">
        <x:v>89</x:v>
      </x:c>
      <x:c r="H9" t="s">
        <x:v>89</x:v>
      </x:c>
    </x:row>
    <x:row r="10">
      <x:c r="A10" s="1">
        <x:v>9</x:v>
      </x:c>
      <x:c r="B10" t="s">
        <x:v>93</x:v>
      </x:c>
      <x:c r="C10" t="s">
        <x:v>93</x:v>
      </x:c>
      <x:c r="D10" t="s">
        <x:v>93</x:v>
      </x:c>
      <x:c r="E10" t="s">
        <x:v>93</x:v>
      </x:c>
      <x:c r="F10" t="s">
        <x:v>93</x:v>
      </x:c>
      <x:c r="G10" t="s">
        <x:v>93</x:v>
      </x:c>
      <x:c r="H10" t="s">
        <x:v>93</x:v>
      </x:c>
    </x:row>
    <x:row r="11">
      <x:c r="A11" s="1">
        <x:v>10</x:v>
      </x:c>
      <x:c r="B11" t="s">
        <x:v>94</x:v>
      </x:c>
      <x:c r="C11" t="s">
        <x:v>94</x:v>
      </x:c>
      <x:c r="D11" t="s">
        <x:v>94</x:v>
      </x:c>
      <x:c r="E11" t="s">
        <x:v>94</x:v>
      </x:c>
      <x:c r="F11" t="s">
        <x:v>94</x:v>
      </x:c>
      <x:c r="G11" t="s">
        <x:v>94</x:v>
      </x:c>
      <x:c r="H11" t="s">
        <x:v>94</x:v>
      </x:c>
    </x:row>
    <x:row r="12">
      <x:c r="A12" s="1">
        <x:v>11</x:v>
      </x:c>
      <x:c r="B12" t="s">
        <x:v>95</x:v>
      </x:c>
      <x:c r="C12" t="s">
        <x:v>95</x:v>
      </x:c>
      <x:c r="D12" t="s">
        <x:v>95</x:v>
      </x:c>
      <x:c r="E12" t="s">
        <x:v>95</x:v>
      </x:c>
      <x:c r="F12" t="s">
        <x:v>95</x:v>
      </x:c>
      <x:c r="G12" t="s">
        <x:v>95</x:v>
      </x:c>
      <x:c r="H12" t="s">
        <x:v>95</x:v>
      </x:c>
    </x:row>
    <x:row r="13">
      <x:c r="A13" s="1">
        <x:v>12</x:v>
      </x:c>
      <x:c r="B13" t="s">
        <x:v>90</x:v>
      </x:c>
      <x:c r="C13" t="s">
        <x:v>90</x:v>
      </x:c>
      <x:c r="D13" t="s">
        <x:v>96</x:v>
      </x:c>
      <x:c r="E13" t="s">
        <x:v>90</x:v>
      </x:c>
      <x:c r="F13" t="s">
        <x:v>90</x:v>
      </x:c>
      <x:c r="G13" t="s">
        <x:v>90</x:v>
      </x:c>
      <x:c r="H13" t="s">
        <x:v>90</x:v>
      </x:c>
    </x:row>
    <x:row r="15" ht="15.75">
      <x:c r="A15" s="4" t="s">
        <x:v>19</x:v>
      </x:c>
      <x:c r="B15" s="4"/>
      <x:c r="C15" s="4"/>
      <x:c r="D15" s="4"/>
      <x:c r="E15" s="4"/>
      <x:c r="F15" s="4"/>
      <x:c r="G15" s="4"/>
      <x:c r="H15" s="4"/>
    </x:row>
    <x:row r="16">
      <x:c r="A16" s="1" t="s">
        <x:v>20</x:v>
      </x:c>
      <x:c r="B16" t="s">
        <x:v>21</x:v>
      </x:c>
      <x:c r="C16" t="s">
        <x:v>22</x:v>
      </x:c>
      <x:c r="D16" t="s">
        <x:v>23</x:v>
      </x:c>
      <x:c r="E16" t="s">
        <x:v>24</x:v>
      </x:c>
      <x:c r="F16" t="s">
        <x:v>14</x:v>
      </x:c>
      <x:c r="G16" t="s">
        <x:v>25</x:v>
      </x:c>
      <x:c r="H16" t="s">
        <x:v>26</x:v>
      </x:c>
    </x:row>
    <x:row r="17">
      <x:c r="A17" s="1">
        <x:v>2</x:v>
      </x:c>
      <x:c r="B17" t="s">
        <x:v>97</x:v>
      </x:c>
      <x:c r="C17" t="s">
        <x:v>97</x:v>
      </x:c>
      <x:c r="D17" t="s">
        <x:v>97</x:v>
      </x:c>
      <x:c r="E17" t="s">
        <x:v>97</x:v>
      </x:c>
      <x:c r="F17" t="s">
        <x:v>97</x:v>
      </x:c>
      <x:c r="G17" t="s">
        <x:v>97</x:v>
      </x:c>
      <x:c r="H17" t="s">
        <x:v>97</x:v>
      </x:c>
    </x:row>
    <x:row r="18">
      <x:c r="A18" s="1">
        <x:v>3</x:v>
      </x:c>
      <x:c r="B18" t="s">
        <x:v>98</x:v>
      </x:c>
      <x:c r="C18" t="s">
        <x:v>99</x:v>
      </x:c>
      <x:c r="D18" t="s">
        <x:v>99</x:v>
      </x:c>
      <x:c r="E18" t="s">
        <x:v>99</x:v>
      </x:c>
      <x:c r="F18" t="s">
        <x:v>98</x:v>
      </x:c>
      <x:c r="G18" t="s">
        <x:v>99</x:v>
      </x:c>
      <x:c r="H18" t="s">
        <x:v>99</x:v>
      </x:c>
    </x:row>
    <x:row r="19">
      <x:c r="A19" s="1">
        <x:v>4</x:v>
      </x:c>
      <x:c r="B19" t="s">
        <x:v>89</x:v>
      </x:c>
      <x:c r="C19" t="s">
        <x:v>89</x:v>
      </x:c>
      <x:c r="D19" t="s">
        <x:v>89</x:v>
      </x:c>
      <x:c r="E19" t="s">
        <x:v>89</x:v>
      </x:c>
      <x:c r="F19" t="s">
        <x:v>89</x:v>
      </x:c>
      <x:c r="G19" t="s">
        <x:v>89</x:v>
      </x:c>
      <x:c r="H19" t="s">
        <x:v>89</x:v>
      </x:c>
    </x:row>
    <x:row r="20">
      <x:c r="A20" s="1">
        <x:v>5</x:v>
      </x:c>
      <x:c r="B20" t="s">
        <x:v>100</x:v>
      </x:c>
      <x:c r="C20" t="s">
        <x:v>100</x:v>
      </x:c>
      <x:c r="D20" t="s">
        <x:v>100</x:v>
      </x:c>
      <x:c r="E20" t="s">
        <x:v>101</x:v>
      </x:c>
      <x:c r="F20" t="s">
        <x:v>101</x:v>
      </x:c>
      <x:c r="G20" t="s">
        <x:v>100</x:v>
      </x:c>
      <x:c r="H20" t="s">
        <x:v>100</x:v>
      </x:c>
    </x:row>
    <x:row r="21">
      <x:c r="A21" s="1">
        <x:v>6</x:v>
      </x:c>
      <x:c r="B21" t="s">
        <x:v>93</x:v>
      </x:c>
      <x:c r="C21" t="s">
        <x:v>93</x:v>
      </x:c>
      <x:c r="D21" t="s">
        <x:v>93</x:v>
      </x:c>
      <x:c r="E21" t="s">
        <x:v>93</x:v>
      </x:c>
      <x:c r="F21" t="s">
        <x:v>93</x:v>
      </x:c>
      <x:c r="G21" t="s">
        <x:v>93</x:v>
      </x:c>
      <x:c r="H21" t="s">
        <x:v>93</x:v>
      </x:c>
    </x:row>
    <x:row r="22">
      <x:c r="A22" s="1">
        <x:v>7</x:v>
      </x:c>
      <x:c r="B22" t="s">
        <x:v>102</x:v>
      </x:c>
      <x:c r="C22" t="s">
        <x:v>102</x:v>
      </x:c>
      <x:c r="D22" t="s">
        <x:v>102</x:v>
      </x:c>
      <x:c r="E22" t="s">
        <x:v>102</x:v>
      </x:c>
      <x:c r="F22" t="s">
        <x:v>102</x:v>
      </x:c>
      <x:c r="G22" t="s">
        <x:v>102</x:v>
      </x:c>
      <x:c r="H22" t="s">
        <x:v>102</x:v>
      </x:c>
    </x:row>
    <x:row r="23">
      <x:c r="A23" s="1">
        <x:v>8</x:v>
      </x:c>
      <x:c r="B23" t="s">
        <x:v>103</x:v>
      </x:c>
      <x:c r="C23" t="s">
        <x:v>103</x:v>
      </x:c>
      <x:c r="D23" t="s">
        <x:v>103</x:v>
      </x:c>
      <x:c r="E23" t="s">
        <x:v>104</x:v>
      </x:c>
      <x:c r="F23" t="s">
        <x:v>104</x:v>
      </x:c>
      <x:c r="G23" t="s">
        <x:v>103</x:v>
      </x:c>
      <x:c r="H23" t="s">
        <x:v>103</x:v>
      </x:c>
    </x:row>
    <x:row r="24">
      <x:c r="A24" s="1">
        <x:v>9</x:v>
      </x:c>
      <x:c r="B24" t="s">
        <x:v>89</x:v>
      </x:c>
      <x:c r="C24" t="s">
        <x:v>89</x:v>
      </x:c>
      <x:c r="D24" t="s">
        <x:v>89</x:v>
      </x:c>
      <x:c r="E24" t="s">
        <x:v>89</x:v>
      </x:c>
      <x:c r="F24" t="s">
        <x:v>89</x:v>
      </x:c>
      <x:c r="G24" t="s">
        <x:v>89</x:v>
      </x:c>
      <x:c r="H24" t="s">
        <x:v>89</x:v>
      </x:c>
    </x:row>
    <x:row r="25">
      <x:c r="A25" s="1">
        <x:v>10</x:v>
      </x:c>
      <x:c r="B25" t="s">
        <x:v>88</x:v>
      </x:c>
      <x:c r="C25" t="s">
        <x:v>105</x:v>
      </x:c>
      <x:c r="D25" t="s">
        <x:v>88</x:v>
      </x:c>
      <x:c r="E25" t="s">
        <x:v>88</x:v>
      </x:c>
      <x:c r="F25" t="s">
        <x:v>88</x:v>
      </x:c>
      <x:c r="G25" t="s">
        <x:v>88</x:v>
      </x:c>
      <x:c r="H25" t="s">
        <x:v>88</x:v>
      </x:c>
    </x:row>
    <x:row r="26">
      <x:c r="A26" s="1">
        <x:v>11</x:v>
      </x:c>
      <x:c r="B26" t="s">
        <x:v>106</x:v>
      </x:c>
      <x:c r="C26" t="s">
        <x:v>106</x:v>
      </x:c>
      <x:c r="D26" t="s">
        <x:v>107</x:v>
      </x:c>
      <x:c r="E26" t="s">
        <x:v>106</x:v>
      </x:c>
      <x:c r="F26" t="s">
        <x:v>106</x:v>
      </x:c>
      <x:c r="G26" t="s">
        <x:v>106</x:v>
      </x:c>
      <x:c r="H26" t="s">
        <x:v>106</x:v>
      </x:c>
    </x:row>
    <x:row r="27">
      <x:c r="A27" s="1">
        <x:v>12</x:v>
      </x:c>
      <x:c r="B27" t="s">
        <x:v>108</x:v>
      </x:c>
      <x:c r="C27" t="s">
        <x:v>108</x:v>
      </x:c>
      <x:c r="D27" t="s">
        <x:v>108</x:v>
      </x:c>
      <x:c r="E27" t="s">
        <x:v>108</x:v>
      </x:c>
      <x:c r="F27" t="s">
        <x:v>108</x:v>
      </x:c>
      <x:c r="G27" t="s">
        <x:v>108</x:v>
      </x:c>
      <x:c r="H27" t="s">
        <x:v>109</x:v>
      </x:c>
    </x:row>
    <x:row r="29" ht="15.75">
      <x:c r="A29" s="4" t="s">
        <x:v>40</x:v>
      </x:c>
      <x:c r="B29" s="4"/>
      <x:c r="C29" s="4"/>
      <x:c r="D29" s="4"/>
      <x:c r="E29" s="4"/>
      <x:c r="F29" s="4"/>
      <x:c r="G29" s="4"/>
      <x:c r="H29" s="4"/>
    </x:row>
    <x:row r="30">
      <x:c r="A30" s="1" t="s">
        <x:v>20</x:v>
      </x:c>
      <x:c r="B30" t="s">
        <x:v>21</x:v>
      </x:c>
      <x:c r="C30" t="s">
        <x:v>22</x:v>
      </x:c>
      <x:c r="D30" t="s">
        <x:v>23</x:v>
      </x:c>
      <x:c r="E30" t="s">
        <x:v>24</x:v>
      </x:c>
      <x:c r="F30" t="s">
        <x:v>14</x:v>
      </x:c>
      <x:c r="G30" t="s">
        <x:v>25</x:v>
      </x:c>
      <x:c r="H30" t="s">
        <x:v>26</x:v>
      </x:c>
    </x:row>
    <x:row r="31">
      <x:c r="A31" s="1">
        <x:v>2</x:v>
      </x:c>
      <x:c r="B31" t="s">
        <x:v>110</x:v>
      </x:c>
      <x:c r="C31" t="s">
        <x:v>110</x:v>
      </x:c>
      <x:c r="D31" t="s">
        <x:v>110</x:v>
      </x:c>
      <x:c r="E31" t="s">
        <x:v>111</x:v>
      </x:c>
      <x:c r="F31" t="s">
        <x:v>111</x:v>
      </x:c>
      <x:c r="G31" t="s">
        <x:v>110</x:v>
      </x:c>
      <x:c r="H31" t="s">
        <x:v>110</x:v>
      </x:c>
    </x:row>
    <x:row r="32">
      <x:c r="A32" s="1">
        <x:v>3</x:v>
      </x:c>
      <x:c r="B32" t="s">
        <x:v>112</x:v>
      </x:c>
      <x:c r="C32" t="s">
        <x:v>112</x:v>
      </x:c>
      <x:c r="D32" t="s">
        <x:v>112</x:v>
      </x:c>
      <x:c r="E32" t="s">
        <x:v>113</x:v>
      </x:c>
      <x:c r="F32" t="s">
        <x:v>113</x:v>
      </x:c>
      <x:c r="G32" t="s">
        <x:v>112</x:v>
      </x:c>
      <x:c r="H32" t="s">
        <x:v>112</x:v>
      </x:c>
    </x:row>
    <x:row r="33">
      <x:c r="A33" s="1">
        <x:v>4</x:v>
      </x:c>
      <x:c r="B33" t="s">
        <x:v>114</x:v>
      </x:c>
      <x:c r="C33" t="s">
        <x:v>115</x:v>
      </x:c>
      <x:c r="D33" t="s">
        <x:v>114</x:v>
      </x:c>
      <x:c r="E33" t="s">
        <x:v>114</x:v>
      </x:c>
      <x:c r="F33" t="s">
        <x:v>114</x:v>
      </x:c>
      <x:c r="G33" t="s">
        <x:v>114</x:v>
      </x:c>
      <x:c r="H33" t="s">
        <x:v>114</x:v>
      </x:c>
    </x:row>
    <x:row r="34">
      <x:c r="A34" s="1">
        <x:v>5</x:v>
      </x:c>
      <x:c r="B34" t="s">
        <x:v>102</x:v>
      </x:c>
      <x:c r="C34" t="s">
        <x:v>102</x:v>
      </x:c>
      <x:c r="D34" t="s">
        <x:v>102</x:v>
      </x:c>
      <x:c r="E34" t="s">
        <x:v>102</x:v>
      </x:c>
      <x:c r="F34" t="s">
        <x:v>102</x:v>
      </x:c>
      <x:c r="G34" t="s">
        <x:v>102</x:v>
      </x:c>
      <x:c r="H34" t="s">
        <x:v>116</x:v>
      </x:c>
    </x:row>
    <x:row r="35">
      <x:c r="A35" s="1">
        <x:v>6</x:v>
      </x:c>
      <x:c r="B35" t="s">
        <x:v>117</x:v>
      </x:c>
      <x:c r="C35" t="s">
        <x:v>117</x:v>
      </x:c>
      <x:c r="D35" t="s">
        <x:v>117</x:v>
      </x:c>
      <x:c r="E35" t="s">
        <x:v>118</x:v>
      </x:c>
      <x:c r="F35" t="s">
        <x:v>118</x:v>
      </x:c>
      <x:c r="G35" t="s">
        <x:v>117</x:v>
      </x:c>
      <x:c r="H35" t="s">
        <x:v>117</x:v>
      </x:c>
    </x:row>
    <x:row r="36">
      <x:c r="A36" s="1">
        <x:v>7</x:v>
      </x:c>
      <x:c r="B36" t="s">
        <x:v>119</x:v>
      </x:c>
      <x:c r="C36" t="s">
        <x:v>119</x:v>
      </x:c>
      <x:c r="D36" t="s">
        <x:v>119</x:v>
      </x:c>
      <x:c r="E36" t="s">
        <x:v>119</x:v>
      </x:c>
      <x:c r="F36" t="s">
        <x:v>119</x:v>
      </x:c>
      <x:c r="G36" t="s">
        <x:v>120</x:v>
      </x:c>
      <x:c r="H36" t="s">
        <x:v>119</x:v>
      </x:c>
    </x:row>
    <x:row r="37">
      <x:c r="A37" s="1">
        <x:v>8</x:v>
      </x:c>
      <x:c r="B37" t="s">
        <x:v>121</x:v>
      </x:c>
      <x:c r="C37" t="s">
        <x:v>121</x:v>
      </x:c>
      <x:c r="D37" t="s">
        <x:v>121</x:v>
      </x:c>
      <x:c r="E37" t="s">
        <x:v>121</x:v>
      </x:c>
      <x:c r="F37" t="s">
        <x:v>121</x:v>
      </x:c>
      <x:c r="G37" t="s">
        <x:v>122</x:v>
      </x:c>
      <x:c r="H37" t="s">
        <x:v>121</x:v>
      </x:c>
    </x:row>
    <x:row r="38">
      <x:c r="A38" s="1">
        <x:v>9</x:v>
      </x:c>
      <x:c r="B38" t="s">
        <x:v>123</x:v>
      </x:c>
      <x:c r="C38" t="s">
        <x:v>112</x:v>
      </x:c>
      <x:c r="D38" t="s">
        <x:v>112</x:v>
      </x:c>
      <x:c r="E38" t="s">
        <x:v>112</x:v>
      </x:c>
      <x:c r="F38" t="s">
        <x:v>123</x:v>
      </x:c>
      <x:c r="G38" t="s">
        <x:v>112</x:v>
      </x:c>
      <x:c r="H38" t="s">
        <x:v>112</x:v>
      </x:c>
    </x:row>
    <x:row r="39">
      <x:c r="A39" s="1">
        <x:v>10</x:v>
      </x:c>
      <x:c r="B39" t="s">
        <x:v>89</x:v>
      </x:c>
      <x:c r="C39" t="s">
        <x:v>89</x:v>
      </x:c>
      <x:c r="D39" t="s">
        <x:v>89</x:v>
      </x:c>
      <x:c r="E39" t="s">
        <x:v>124</x:v>
      </x:c>
      <x:c r="F39" t="s">
        <x:v>89</x:v>
      </x:c>
      <x:c r="G39" t="s">
        <x:v>89</x:v>
      </x:c>
      <x:c r="H39" t="s">
        <x:v>89</x:v>
      </x:c>
    </x:row>
    <x:row r="40">
      <x:c r="A40" s="1">
        <x:v>11</x:v>
      </x:c>
      <x:c r="B40" t="s">
        <x:v>110</x:v>
      </x:c>
      <x:c r="C40" t="s">
        <x:v>110</x:v>
      </x:c>
      <x:c r="D40" t="s">
        <x:v>125</x:v>
      </x:c>
      <x:c r="E40" t="s">
        <x:v>110</x:v>
      </x:c>
      <x:c r="F40" t="s">
        <x:v>110</x:v>
      </x:c>
      <x:c r="G40" t="s">
        <x:v>110</x:v>
      </x:c>
      <x:c r="H40" t="s">
        <x:v>110</x:v>
      </x:c>
    </x:row>
    <x:row r="41">
      <x:c r="A41" s="1">
        <x:v>12</x:v>
      </x:c>
      <x:c r="B41" t="s">
        <x:v>119</x:v>
      </x:c>
      <x:c r="C41" t="s">
        <x:v>119</x:v>
      </x:c>
      <x:c r="D41" t="s">
        <x:v>119</x:v>
      </x:c>
      <x:c r="E41" t="s">
        <x:v>126</x:v>
      </x:c>
      <x:c r="F41" t="s">
        <x:v>126</x:v>
      </x:c>
      <x:c r="G41" t="s">
        <x:v>119</x:v>
      </x:c>
      <x:c r="H41" t="s">
        <x:v>119</x:v>
      </x:c>
    </x:row>
    <x:row r="43" ht="15.75">
      <x:c r="A43" s="4" t="s">
        <x:v>51</x:v>
      </x:c>
      <x:c r="B43" s="4"/>
      <x:c r="C43" s="4"/>
      <x:c r="D43" s="4"/>
      <x:c r="E43" s="4"/>
      <x:c r="F43" s="4"/>
      <x:c r="G43" s="4"/>
      <x:c r="H43" s="4"/>
    </x:row>
    <x:row r="44">
      <x:c r="A44" s="1" t="s">
        <x:v>20</x:v>
      </x:c>
      <x:c r="B44" t="s">
        <x:v>21</x:v>
      </x:c>
      <x:c r="C44" t="s">
        <x:v>22</x:v>
      </x:c>
      <x:c r="D44" t="s">
        <x:v>23</x:v>
      </x:c>
      <x:c r="E44" t="s">
        <x:v>24</x:v>
      </x:c>
      <x:c r="F44" t="s">
        <x:v>14</x:v>
      </x:c>
      <x:c r="G44" t="s">
        <x:v>25</x:v>
      </x:c>
      <x:c r="H44" t="s">
        <x:v>26</x:v>
      </x:c>
    </x:row>
    <x:row r="45">
      <x:c r="A45" s="1">
        <x:v>2</x:v>
      </x:c>
      <x:c r="B45" t="s">
        <x:v>94</x:v>
      </x:c>
      <x:c r="C45" t="s">
        <x:v>94</x:v>
      </x:c>
      <x:c r="D45" t="s">
        <x:v>94</x:v>
      </x:c>
      <x:c r="E45" t="s">
        <x:v>94</x:v>
      </x:c>
      <x:c r="F45" t="s">
        <x:v>94</x:v>
      </x:c>
      <x:c r="G45" t="s">
        <x:v>94</x:v>
      </x:c>
      <x:c r="H45" t="s">
        <x:v>94</x:v>
      </x:c>
    </x:row>
    <x:row r="46">
      <x:c r="A46" s="1">
        <x:v>3</x:v>
      </x:c>
      <x:c r="B46" t="s">
        <x:v>97</x:v>
      </x:c>
      <x:c r="C46" t="s">
        <x:v>97</x:v>
      </x:c>
      <x:c r="D46" t="s">
        <x:v>127</x:v>
      </x:c>
      <x:c r="E46" t="s">
        <x:v>97</x:v>
      </x:c>
      <x:c r="F46" t="s">
        <x:v>97</x:v>
      </x:c>
      <x:c r="G46" t="s">
        <x:v>97</x:v>
      </x:c>
      <x:c r="H46" t="s">
        <x:v>97</x:v>
      </x:c>
    </x:row>
    <x:row r="47">
      <x:c r="A47" s="1">
        <x:v>4</x:v>
      </x:c>
      <x:c r="B47" t="s">
        <x:v>128</x:v>
      </x:c>
      <x:c r="C47" t="s">
        <x:v>87</x:v>
      </x:c>
      <x:c r="D47" t="s">
        <x:v>87</x:v>
      </x:c>
      <x:c r="E47" t="s">
        <x:v>87</x:v>
      </x:c>
      <x:c r="F47" t="s">
        <x:v>128</x:v>
      </x:c>
      <x:c r="G47" t="s">
        <x:v>87</x:v>
      </x:c>
      <x:c r="H47" t="s">
        <x:v>87</x:v>
      </x:c>
    </x:row>
    <x:row r="48">
      <x:c r="A48" s="1">
        <x:v>5</x:v>
      </x:c>
      <x:c r="B48" t="s">
        <x:v>114</x:v>
      </x:c>
      <x:c r="C48" t="s">
        <x:v>129</x:v>
      </x:c>
      <x:c r="D48" t="s">
        <x:v>114</x:v>
      </x:c>
      <x:c r="E48" t="s">
        <x:v>114</x:v>
      </x:c>
      <x:c r="F48" t="s">
        <x:v>114</x:v>
      </x:c>
      <x:c r="G48" t="s">
        <x:v>114</x:v>
      </x:c>
      <x:c r="H48" t="s">
        <x:v>114</x:v>
      </x:c>
    </x:row>
    <x:row r="49">
      <x:c r="A49" s="1">
        <x:v>6</x:v>
      </x:c>
      <x:c r="B49" t="s">
        <x:v>130</x:v>
      </x:c>
      <x:c r="C49" t="s">
        <x:v>97</x:v>
      </x:c>
      <x:c r="D49" t="s">
        <x:v>97</x:v>
      </x:c>
      <x:c r="E49" t="s">
        <x:v>97</x:v>
      </x:c>
      <x:c r="F49" t="s">
        <x:v>130</x:v>
      </x:c>
      <x:c r="G49" t="s">
        <x:v>97</x:v>
      </x:c>
      <x:c r="H49" t="s">
        <x:v>97</x:v>
      </x:c>
    </x:row>
    <x:row r="50">
      <x:c r="A50" s="1">
        <x:v>7</x:v>
      </x:c>
      <x:c r="B50" t="s">
        <x:v>89</x:v>
      </x:c>
      <x:c r="C50" t="s">
        <x:v>89</x:v>
      </x:c>
      <x:c r="D50" t="s">
        <x:v>89</x:v>
      </x:c>
      <x:c r="E50" t="s">
        <x:v>89</x:v>
      </x:c>
      <x:c r="F50" t="s">
        <x:v>89</x:v>
      </x:c>
      <x:c r="G50" t="s">
        <x:v>89</x:v>
      </x:c>
      <x:c r="H50" t="s">
        <x:v>131</x:v>
      </x:c>
    </x:row>
    <x:row r="51">
      <x:c r="A51" s="1">
        <x:v>8</x:v>
      </x:c>
      <x:c r="B51" t="s">
        <x:v>132</x:v>
      </x:c>
      <x:c r="C51" t="s">
        <x:v>132</x:v>
      </x:c>
      <x:c r="D51" t="s">
        <x:v>132</x:v>
      </x:c>
      <x:c r="E51" t="s">
        <x:v>133</x:v>
      </x:c>
      <x:c r="F51" t="s">
        <x:v>133</x:v>
      </x:c>
      <x:c r="G51" t="s">
        <x:v>132</x:v>
      </x:c>
      <x:c r="H51" t="s">
        <x:v>132</x:v>
      </x:c>
    </x:row>
    <x:row r="52">
      <x:c r="A52" s="1">
        <x:v>9</x:v>
      </x:c>
      <x:c r="B52" t="s">
        <x:v>134</x:v>
      </x:c>
      <x:c r="C52" t="s">
        <x:v>99</x:v>
      </x:c>
      <x:c r="D52" t="s">
        <x:v>99</x:v>
      </x:c>
      <x:c r="E52" t="s">
        <x:v>99</x:v>
      </x:c>
      <x:c r="F52" t="s">
        <x:v>134</x:v>
      </x:c>
      <x:c r="G52" t="s">
        <x:v>99</x:v>
      </x:c>
      <x:c r="H52" t="s">
        <x:v>99</x:v>
      </x:c>
    </x:row>
    <x:row r="53">
      <x:c r="A53" s="1">
        <x:v>10</x:v>
      </x:c>
      <x:c r="B53" t="s">
        <x:v>93</x:v>
      </x:c>
      <x:c r="C53" t="s">
        <x:v>93</x:v>
      </x:c>
      <x:c r="D53" t="s">
        <x:v>93</x:v>
      </x:c>
      <x:c r="E53" t="s">
        <x:v>93</x:v>
      </x:c>
      <x:c r="F53" t="s">
        <x:v>93</x:v>
      </x:c>
      <x:c r="G53" t="s">
        <x:v>93</x:v>
      </x:c>
      <x:c r="H53" t="s">
        <x:v>135</x:v>
      </x:c>
    </x:row>
    <x:row r="54">
      <x:c r="A54" s="1">
        <x:v>11</x:v>
      </x:c>
      <x:c r="B54" t="s">
        <x:v>95</x:v>
      </x:c>
      <x:c r="C54" t="s">
        <x:v>95</x:v>
      </x:c>
      <x:c r="D54" t="s">
        <x:v>95</x:v>
      </x:c>
      <x:c r="E54" t="s">
        <x:v>95</x:v>
      </x:c>
      <x:c r="F54" t="s">
        <x:v>95</x:v>
      </x:c>
      <x:c r="G54" t="s">
        <x:v>95</x:v>
      </x:c>
      <x:c r="H54" t="s">
        <x:v>95</x:v>
      </x:c>
    </x:row>
    <x:row r="55">
      <x:c r="A55" s="1">
        <x:v>12</x:v>
      </x:c>
      <x:c r="B55" t="s">
        <x:v>108</x:v>
      </x:c>
      <x:c r="C55" t="s">
        <x:v>108</x:v>
      </x:c>
      <x:c r="D55" t="s">
        <x:v>136</x:v>
      </x:c>
      <x:c r="E55" t="s">
        <x:v>108</x:v>
      </x:c>
      <x:c r="F55" t="s">
        <x:v>108</x:v>
      </x:c>
      <x:c r="G55" t="s">
        <x:v>108</x:v>
      </x:c>
      <x:c r="H55" t="s">
        <x:v>108</x:v>
      </x:c>
    </x:row>
    <x:row r="57" ht="21">
      <x:c r="A57" s="8" t="s">
        <x:v>60</x:v>
      </x:c>
      <x:c r="B57" s="3"/>
      <x:c r="C57" s="3"/>
      <x:c r="D57" s="3"/>
      <x:c r="E57" s="3"/>
      <x:c r="F57" s="3"/>
      <x:c r="G57" s="3"/>
      <x:c r="H57" s="3"/>
    </x:row>
    <x:row r="58" ht="15.75">
      <x:c r="A58" s="4" t="s">
        <x:v>86</x:v>
      </x:c>
      <x:c r="B58" s="3"/>
      <x:c r="C58" s="3"/>
      <x:c r="D58" s="3"/>
      <x:c r="E58" s="3"/>
      <x:c r="F58" s="3"/>
      <x:c r="G58" s="3"/>
      <x:c r="H58" s="3"/>
    </x:row>
    <x:row r="59">
      <x:c r="A59" s="38" t="s">
        <x:v>61</x:v>
      </x:c>
      <x:c r="B59" s="39" t="s">
        <x:v>21</x:v>
      </x:c>
      <x:c r="C59" s="39" t="s">
        <x:v>22</x:v>
      </x:c>
      <x:c r="D59" s="39" t="s">
        <x:v>23</x:v>
      </x:c>
      <x:c r="E59" s="39" t="s">
        <x:v>24</x:v>
      </x:c>
      <x:c r="F59" s="39" t="s">
        <x:v>14</x:v>
      </x:c>
      <x:c r="G59" s="39" t="s">
        <x:v>25</x:v>
      </x:c>
      <x:c r="H59" s="40" t="s">
        <x:v>26</x:v>
      </x:c>
    </x:row>
    <x:row r="60">
      <x:c r="A60" s="34">
        <x:v>1</x:v>
      </x:c>
      <x:c r="B60" s="29" t="s">
        <x:v>137</x:v>
      </x:c>
      <x:c r="C60" s="29" t="s">
        <x:v>137</x:v>
      </x:c>
      <x:c r="D60" s="29" t="s">
        <x:v>137</x:v>
      </x:c>
      <x:c r="E60" s="29" t="s">
        <x:v>137</x:v>
      </x:c>
      <x:c r="F60" s="29" t="s">
        <x:v>137</x:v>
      </x:c>
      <x:c r="G60" s="29" t="s">
        <x:v>137</x:v>
      </x:c>
      <x:c r="H60" s="36" t="s">
        <x:v>137</x:v>
      </x:c>
    </x:row>
    <x:row r="61">
      <x:c r="A61" s="35">
        <x:v>2</x:v>
      </x:c>
      <x:c r="B61" s="30" t="s">
        <x:v>138</x:v>
      </x:c>
      <x:c r="C61" s="30" t="s">
        <x:v>138</x:v>
      </x:c>
      <x:c r="D61" s="30" t="s">
        <x:v>138</x:v>
      </x:c>
      <x:c r="E61" s="30" t="s">
        <x:v>138</x:v>
      </x:c>
      <x:c r="F61" s="30" t="s">
        <x:v>138</x:v>
      </x:c>
      <x:c r="G61" s="30" t="s">
        <x:v>138</x:v>
      </x:c>
      <x:c r="H61" s="37" t="s">
        <x:v>138</x:v>
      </x:c>
    </x:row>
    <x:row r="62">
      <x:c r="A62" s="34">
        <x:v>3</x:v>
      </x:c>
      <x:c r="B62" s="29" t="s">
        <x:v>139</x:v>
      </x:c>
      <x:c r="C62" s="29" t="s">
        <x:v>139</x:v>
      </x:c>
      <x:c r="D62" s="29" t="s">
        <x:v>139</x:v>
      </x:c>
      <x:c r="E62" s="29" t="s">
        <x:v>139</x:v>
      </x:c>
      <x:c r="F62" s="29" t="s">
        <x:v>139</x:v>
      </x:c>
      <x:c r="G62" s="29" t="s">
        <x:v>139</x:v>
      </x:c>
      <x:c r="H62" s="36" t="s">
        <x:v>139</x:v>
      </x:c>
    </x:row>
    <x:row r="63">
      <x:c r="A63" s="35">
        <x:v>4</x:v>
      </x:c>
      <x:c r="B63" s="30" t="s">
        <x:v>140</x:v>
      </x:c>
      <x:c r="C63" s="30" t="s">
        <x:v>140</x:v>
      </x:c>
      <x:c r="D63" s="30" t="s">
        <x:v>140</x:v>
      </x:c>
      <x:c r="E63" s="30" t="s">
        <x:v>140</x:v>
      </x:c>
      <x:c r="F63" s="30" t="s">
        <x:v>140</x:v>
      </x:c>
      <x:c r="G63" s="30" t="s">
        <x:v>140</x:v>
      </x:c>
      <x:c r="H63" s="37" t="s">
        <x:v>140</x:v>
      </x:c>
    </x:row>
    <x:row r="64">
      <x:c r="A64" s="34">
        <x:v>5</x:v>
      </x:c>
      <x:c r="B64" s="29" t="s">
        <x:v>141</x:v>
      </x:c>
      <x:c r="C64" s="29" t="s">
        <x:v>141</x:v>
      </x:c>
      <x:c r="D64" s="29" t="s">
        <x:v>141</x:v>
      </x:c>
      <x:c r="E64" s="29" t="s">
        <x:v>141</x:v>
      </x:c>
      <x:c r="F64" s="29" t="s">
        <x:v>141</x:v>
      </x:c>
      <x:c r="G64" s="29" t="s">
        <x:v>141</x:v>
      </x:c>
      <x:c r="H64" s="36" t="s">
        <x:v>141</x:v>
      </x:c>
    </x:row>
    <x:row r="65">
      <x:c r="A65" s="41">
        <x:v>6</x:v>
      </x:c>
      <x:c r="B65" s="42" t="s">
        <x:v>142</x:v>
      </x:c>
      <x:c r="C65" s="42" t="s">
        <x:v>143</x:v>
      </x:c>
      <x:c r="D65" s="42" t="s">
        <x:v>144</x:v>
      </x:c>
      <x:c r="E65" s="42" t="s">
        <x:v>145</x:v>
      </x:c>
      <x:c r="F65" s="42" t="s">
        <x:v>146</x:v>
      </x:c>
      <x:c r="G65" s="42" t="s">
        <x:v>147</x:v>
      </x:c>
      <x:c r="H65" s="43" t="s">
        <x:v>148</x:v>
      </x:c>
    </x:row>
    <x:row r="66" ht="21">
      <x:c r="A66" s="8"/>
      <x:c r="B66" s="3"/>
      <x:c r="C66" s="3"/>
      <x:c r="D66" s="3"/>
      <x:c r="E66" s="3"/>
      <x:c r="F66" s="3"/>
      <x:c r="G66" s="3"/>
      <x:c r="H66" s="3"/>
    </x:row>
    <x:row r="67" ht="15.75">
      <x:c r="A67" s="4" t="s">
        <x:v>19</x:v>
      </x:c>
      <x:c r="B67" s="3"/>
      <x:c r="C67" s="3"/>
      <x:c r="D67" s="3"/>
      <x:c r="E67" s="3"/>
      <x:c r="F67" s="3"/>
      <x:c r="G67" s="3"/>
      <x:c r="H67" s="3"/>
    </x:row>
    <x:row r="68">
      <x:c r="A68" s="1" t="s">
        <x:v>61</x:v>
      </x:c>
      <x:c r="B68" s="1" t="s">
        <x:v>21</x:v>
      </x:c>
      <x:c r="C68" s="1" t="s">
        <x:v>22</x:v>
      </x:c>
      <x:c r="D68" s="1" t="s">
        <x:v>23</x:v>
      </x:c>
      <x:c r="E68" s="1" t="s">
        <x:v>24</x:v>
      </x:c>
      <x:c r="F68" s="1" t="s">
        <x:v>14</x:v>
      </x:c>
      <x:c r="G68" s="1" t="s">
        <x:v>25</x:v>
      </x:c>
      <x:c r="H68" s="1" t="s">
        <x:v>26</x:v>
      </x:c>
    </x:row>
    <x:row r="69">
      <x:c r="A69" s="1">
        <x:v>1</x:v>
      </x:c>
      <x:c r="B69" t="s">
        <x:v>149</x:v>
      </x:c>
      <x:c r="C69" t="s">
        <x:v>149</x:v>
      </x:c>
      <x:c r="D69" t="s">
        <x:v>149</x:v>
      </x:c>
      <x:c r="E69" t="s">
        <x:v>149</x:v>
      </x:c>
      <x:c r="F69" t="s">
        <x:v>149</x:v>
      </x:c>
      <x:c r="G69" t="s">
        <x:v>149</x:v>
      </x:c>
      <x:c r="H69" t="s">
        <x:v>149</x:v>
      </x:c>
    </x:row>
    <x:row r="70">
      <x:c r="A70" s="1">
        <x:v>2</x:v>
      </x:c>
      <x:c r="B70" t="s">
        <x:v>150</x:v>
      </x:c>
      <x:c r="C70" t="s">
        <x:v>150</x:v>
      </x:c>
      <x:c r="D70" t="s">
        <x:v>150</x:v>
      </x:c>
      <x:c r="E70" t="s">
        <x:v>150</x:v>
      </x:c>
      <x:c r="F70" t="s">
        <x:v>150</x:v>
      </x:c>
      <x:c r="G70" t="s">
        <x:v>150</x:v>
      </x:c>
      <x:c r="H70" t="s">
        <x:v>150</x:v>
      </x:c>
    </x:row>
    <x:row r="71">
      <x:c r="A71" s="1">
        <x:v>3</x:v>
      </x:c>
      <x:c r="B71" t="s">
        <x:v>151</x:v>
      </x:c>
      <x:c r="C71" t="s">
        <x:v>151</x:v>
      </x:c>
      <x:c r="D71" t="s">
        <x:v>151</x:v>
      </x:c>
      <x:c r="E71" t="s">
        <x:v>151</x:v>
      </x:c>
      <x:c r="F71" t="s">
        <x:v>151</x:v>
      </x:c>
      <x:c r="G71" t="s">
        <x:v>151</x:v>
      </x:c>
      <x:c r="H71" t="s">
        <x:v>151</x:v>
      </x:c>
    </x:row>
    <x:row r="72">
      <x:c r="A72" s="1">
        <x:v>4</x:v>
      </x:c>
      <x:c r="B72" t="s">
        <x:v>152</x:v>
      </x:c>
      <x:c r="C72" t="s">
        <x:v>152</x:v>
      </x:c>
      <x:c r="D72" t="s">
        <x:v>152</x:v>
      </x:c>
      <x:c r="E72" t="s">
        <x:v>152</x:v>
      </x:c>
      <x:c r="F72" t="s">
        <x:v>152</x:v>
      </x:c>
      <x:c r="G72" t="s">
        <x:v>152</x:v>
      </x:c>
      <x:c r="H72" t="s">
        <x:v>152</x:v>
      </x:c>
    </x:row>
    <x:row r="73">
      <x:c r="A73" s="1">
        <x:v>5</x:v>
      </x:c>
      <x:c r="B73" t="s">
        <x:v>153</x:v>
      </x:c>
      <x:c r="C73" t="s">
        <x:v>153</x:v>
      </x:c>
      <x:c r="D73" t="s">
        <x:v>153</x:v>
      </x:c>
      <x:c r="E73" t="s">
        <x:v>153</x:v>
      </x:c>
      <x:c r="F73" t="s">
        <x:v>153</x:v>
      </x:c>
      <x:c r="G73" t="s">
        <x:v>153</x:v>
      </x:c>
      <x:c r="H73" t="s">
        <x:v>153</x:v>
      </x:c>
    </x:row>
    <x:row r="74">
      <x:c r="A74" s="1">
        <x:v>6</x:v>
      </x:c>
      <x:c r="B74" t="s">
        <x:v>154</x:v>
      </x:c>
      <x:c r="C74" t="s">
        <x:v>154</x:v>
      </x:c>
      <x:c r="D74" t="s">
        <x:v>154</x:v>
      </x:c>
      <x:c r="E74" t="s">
        <x:v>154</x:v>
      </x:c>
      <x:c r="F74" t="s">
        <x:v>154</x:v>
      </x:c>
      <x:c r="G74" t="s">
        <x:v>154</x:v>
      </x:c>
      <x:c r="H74" t="s">
        <x:v>154</x:v>
      </x:c>
    </x:row>
    <x:row r="76" ht="15.75">
      <x:c r="A76" s="4" t="s">
        <x:v>40</x:v>
      </x:c>
      <x:c r="B76" s="3"/>
      <x:c r="C76" s="3"/>
      <x:c r="D76" s="3"/>
      <x:c r="E76" s="3"/>
      <x:c r="F76" s="3"/>
      <x:c r="G76" s="3"/>
      <x:c r="H76" s="3"/>
    </x:row>
    <x:row r="77">
      <x:c r="A77" s="31" t="s">
        <x:v>61</x:v>
      </x:c>
      <x:c r="B77" s="31" t="s">
        <x:v>21</x:v>
      </x:c>
      <x:c r="C77" s="31" t="s">
        <x:v>22</x:v>
      </x:c>
      <x:c r="D77" s="31" t="s">
        <x:v>23</x:v>
      </x:c>
      <x:c r="E77" s="31" t="s">
        <x:v>24</x:v>
      </x:c>
      <x:c r="F77" s="31" t="s">
        <x:v>14</x:v>
      </x:c>
      <x:c r="G77" s="31" t="s">
        <x:v>25</x:v>
      </x:c>
      <x:c r="H77" s="31" t="s">
        <x:v>26</x:v>
      </x:c>
    </x:row>
    <x:row r="78">
      <x:c r="A78" s="32">
        <x:v>1</x:v>
      </x:c>
      <x:c r="B78" s="29" t="s">
        <x:v>155</x:v>
      </x:c>
      <x:c r="C78" s="29" t="s">
        <x:v>155</x:v>
      </x:c>
      <x:c r="D78" s="29" t="s">
        <x:v>155</x:v>
      </x:c>
      <x:c r="E78" s="29" t="s">
        <x:v>155</x:v>
      </x:c>
      <x:c r="F78" s="29" t="s">
        <x:v>155</x:v>
      </x:c>
      <x:c r="G78" s="29" t="s">
        <x:v>155</x:v>
      </x:c>
      <x:c r="H78" s="29" t="s">
        <x:v>155</x:v>
      </x:c>
    </x:row>
    <x:row r="79">
      <x:c r="A79" s="33">
        <x:v>2</x:v>
      </x:c>
      <x:c r="B79" s="30" t="s">
        <x:v>156</x:v>
      </x:c>
      <x:c r="C79" s="30" t="s">
        <x:v>156</x:v>
      </x:c>
      <x:c r="D79" s="30" t="s">
        <x:v>156</x:v>
      </x:c>
      <x:c r="E79" s="30" t="s">
        <x:v>156</x:v>
      </x:c>
      <x:c r="F79" s="30" t="s">
        <x:v>156</x:v>
      </x:c>
      <x:c r="G79" s="30" t="s">
        <x:v>156</x:v>
      </x:c>
      <x:c r="H79" s="30" t="s">
        <x:v>156</x:v>
      </x:c>
    </x:row>
    <x:row r="80">
      <x:c r="A80" s="32">
        <x:v>3</x:v>
      </x:c>
      <x:c r="B80" s="29" t="s">
        <x:v>157</x:v>
      </x:c>
      <x:c r="C80" s="29" t="s">
        <x:v>158</x:v>
      </x:c>
      <x:c r="D80" s="29" t="s">
        <x:v>159</x:v>
      </x:c>
      <x:c r="E80" s="29" t="s">
        <x:v>160</x:v>
      </x:c>
      <x:c r="F80" s="29" t="s">
        <x:v>161</x:v>
      </x:c>
      <x:c r="G80" s="29" t="s">
        <x:v>162</x:v>
      </x:c>
      <x:c r="H80" s="29" t="s">
        <x:v>163</x:v>
      </x:c>
    </x:row>
    <x:row r="81">
      <x:c r="A81" s="33">
        <x:v>4</x:v>
      </x:c>
      <x:c r="B81" s="30" t="s">
        <x:v>164</x:v>
      </x:c>
      <x:c r="C81" s="30" t="s">
        <x:v>165</x:v>
      </x:c>
      <x:c r="D81" s="30" t="s">
        <x:v>166</x:v>
      </x:c>
      <x:c r="E81" s="30" t="s">
        <x:v>167</x:v>
      </x:c>
      <x:c r="F81" s="30" t="s">
        <x:v>168</x:v>
      </x:c>
      <x:c r="G81" s="30" t="s">
        <x:v>169</x:v>
      </x:c>
      <x:c r="H81" s="30" t="s">
        <x:v>170</x:v>
      </x:c>
    </x:row>
    <x:row r="82">
      <x:c r="A82" s="32">
        <x:v>5</x:v>
      </x:c>
      <x:c r="B82" s="29" t="s">
        <x:v>171</x:v>
      </x:c>
      <x:c r="C82" s="29" t="s">
        <x:v>171</x:v>
      </x:c>
      <x:c r="D82" s="29" t="s">
        <x:v>171</x:v>
      </x:c>
      <x:c r="E82" s="29" t="s">
        <x:v>171</x:v>
      </x:c>
      <x:c r="F82" s="29" t="s">
        <x:v>171</x:v>
      </x:c>
      <x:c r="G82" s="29" t="s">
        <x:v>171</x:v>
      </x:c>
      <x:c r="H82" s="29" t="s">
        <x:v>171</x:v>
      </x:c>
    </x:row>
    <x:row r="83">
      <x:c r="A83" s="33">
        <x:v>6</x:v>
      </x:c>
      <x:c r="B83" s="30" t="s">
        <x:v>154</x:v>
      </x:c>
      <x:c r="C83" s="30" t="s">
        <x:v>154</x:v>
      </x:c>
      <x:c r="D83" s="30" t="s">
        <x:v>154</x:v>
      </x:c>
      <x:c r="E83" s="30" t="s">
        <x:v>154</x:v>
      </x:c>
      <x:c r="F83" s="30" t="s">
        <x:v>154</x:v>
      </x:c>
      <x:c r="G83" s="30" t="s">
        <x:v>154</x:v>
      </x:c>
      <x:c r="H83" s="30" t="s">
        <x:v>154</x:v>
      </x:c>
    </x:row>
    <x:row r="85" ht="15.75">
      <x:c r="A85" s="4" t="s">
        <x:v>51</x:v>
      </x:c>
      <x:c r="B85" s="3"/>
      <x:c r="C85" s="3"/>
      <x:c r="D85" s="3"/>
      <x:c r="E85" s="3"/>
      <x:c r="F85" s="3"/>
      <x:c r="G85" s="3"/>
      <x:c r="H85" s="3"/>
    </x:row>
    <x:row r="86">
      <x:c r="A86" s="31" t="s">
        <x:v>61</x:v>
      </x:c>
      <x:c r="B86" s="31" t="s">
        <x:v>21</x:v>
      </x:c>
      <x:c r="C86" s="31" t="s">
        <x:v>22</x:v>
      </x:c>
      <x:c r="D86" s="31" t="s">
        <x:v>23</x:v>
      </x:c>
      <x:c r="E86" s="31" t="s">
        <x:v>24</x:v>
      </x:c>
      <x:c r="F86" s="31" t="s">
        <x:v>14</x:v>
      </x:c>
      <x:c r="G86" s="31" t="s">
        <x:v>25</x:v>
      </x:c>
      <x:c r="H86" s="31" t="s">
        <x:v>26</x:v>
      </x:c>
    </x:row>
    <x:row r="87">
      <x:c r="A87" s="32">
        <x:v>1</x:v>
      </x:c>
      <x:c r="B87" s="29" t="s">
        <x:v>172</x:v>
      </x:c>
      <x:c r="C87" s="29" t="s">
        <x:v>172</x:v>
      </x:c>
      <x:c r="D87" s="29" t="s">
        <x:v>172</x:v>
      </x:c>
      <x:c r="E87" s="29" t="s">
        <x:v>172</x:v>
      </x:c>
      <x:c r="F87" s="29" t="s">
        <x:v>172</x:v>
      </x:c>
      <x:c r="G87" s="29" t="s">
        <x:v>172</x:v>
      </x:c>
      <x:c r="H87" s="29" t="s">
        <x:v>172</x:v>
      </x:c>
    </x:row>
    <x:row r="88">
      <x:c r="A88" s="33">
        <x:v>2</x:v>
      </x:c>
      <x:c r="B88" s="30" t="s">
        <x:v>173</x:v>
      </x:c>
      <x:c r="C88" s="30" t="s">
        <x:v>173</x:v>
      </x:c>
      <x:c r="D88" s="30" t="s">
        <x:v>173</x:v>
      </x:c>
      <x:c r="E88" s="30" t="s">
        <x:v>173</x:v>
      </x:c>
      <x:c r="F88" s="30" t="s">
        <x:v>173</x:v>
      </x:c>
      <x:c r="G88" s="30" t="s">
        <x:v>173</x:v>
      </x:c>
      <x:c r="H88" s="30" t="s">
        <x:v>173</x:v>
      </x:c>
    </x:row>
    <x:row r="89">
      <x:c r="A89" s="32">
        <x:v>3</x:v>
      </x:c>
      <x:c r="B89" s="29" t="s">
        <x:v>151</x:v>
      </x:c>
      <x:c r="C89" s="29" t="s">
        <x:v>151</x:v>
      </x:c>
      <x:c r="D89" s="29" t="s">
        <x:v>151</x:v>
      </x:c>
      <x:c r="E89" s="29" t="s">
        <x:v>151</x:v>
      </x:c>
      <x:c r="F89" s="29" t="s">
        <x:v>151</x:v>
      </x:c>
      <x:c r="G89" s="29" t="s">
        <x:v>151</x:v>
      </x:c>
      <x:c r="H89" s="29" t="s">
        <x:v>151</x:v>
      </x:c>
    </x:row>
    <x:row r="90">
      <x:c r="A90" s="33">
        <x:v>4</x:v>
      </x:c>
      <x:c r="B90" s="30" t="s">
        <x:v>151</x:v>
      </x:c>
      <x:c r="C90" s="30" t="s">
        <x:v>164</x:v>
      </x:c>
      <x:c r="D90" s="30" t="s">
        <x:v>151</x:v>
      </x:c>
      <x:c r="E90" s="30" t="s">
        <x:v>151</x:v>
      </x:c>
      <x:c r="F90" s="30" t="s">
        <x:v>151</x:v>
      </x:c>
      <x:c r="G90" s="30" t="s">
        <x:v>151</x:v>
      </x:c>
      <x:c r="H90" s="30" t="s">
        <x:v>151</x:v>
      </x:c>
    </x:row>
    <x:row r="91">
      <x:c r="A91" s="32">
        <x:v>5</x:v>
      </x:c>
      <x:c r="B91" s="29" t="s">
        <x:v>174</x:v>
      </x:c>
      <x:c r="C91" s="29" t="s">
        <x:v>175</x:v>
      </x:c>
      <x:c r="D91" s="29" t="s">
        <x:v>175</x:v>
      </x:c>
      <x:c r="E91" s="29" t="s">
        <x:v>175</x:v>
      </x:c>
      <x:c r="F91" s="29" t="s">
        <x:v>175</x:v>
      </x:c>
      <x:c r="G91" s="29" t="s">
        <x:v>174</x:v>
      </x:c>
      <x:c r="H91" s="29" t="s">
        <x:v>175</x:v>
      </x:c>
    </x:row>
    <x:row r="92">
      <x:c r="A92" s="33">
        <x:v>6</x:v>
      </x:c>
      <x:c r="B92" s="30" t="s">
        <x:v>154</x:v>
      </x:c>
      <x:c r="C92" s="30" t="s">
        <x:v>154</x:v>
      </x:c>
      <x:c r="D92" s="30" t="s">
        <x:v>154</x:v>
      </x:c>
      <x:c r="E92" s="30" t="s">
        <x:v>154</x:v>
      </x:c>
      <x:c r="F92" s="30" t="s">
        <x:v>154</x:v>
      </x:c>
      <x:c r="G92" s="30" t="s">
        <x:v>154</x:v>
      </x:c>
      <x:c r="H92" s="30" t="s">
        <x:v>154</x:v>
      </x:c>
    </x:row>
  </x:sheetData>
  <x:pageMargins left="0.7" right="0.7" top="0.75" bottom="0.75" header="0.3" footer="0.3"/>
  <x:tableParts count="6">
    <x:tablePart xmlns:r="http://schemas.openxmlformats.org/officeDocument/2006/relationships" r:id="Ra37db2f23666445a"/>
    <x:tablePart xmlns:r="http://schemas.openxmlformats.org/officeDocument/2006/relationships" r:id="R227c407660374bd3"/>
    <x:tablePart xmlns:r="http://schemas.openxmlformats.org/officeDocument/2006/relationships" r:id="R6309d443f2164199"/>
    <x:tablePart xmlns:r="http://schemas.openxmlformats.org/officeDocument/2006/relationships" r:id="R01002919e0444efb"/>
    <x:tablePart xmlns:r="http://schemas.openxmlformats.org/officeDocument/2006/relationships" r:id="Rbdcbec4d8b1a4db5"/>
    <x:tablePart xmlns:r="http://schemas.openxmlformats.org/officeDocument/2006/relationships" r:id="Rd08b48b0dac148be"/>
  </x:tableParts>
</x:worksheet>
</file>

<file path=xl/worksheets/sheet4.xml><?xml version="1.0" encoding="utf-8"?>
<x:worksheet xmlns:x="http://schemas.openxmlformats.org/spreadsheetml/2006/main">
  <x:sheetFormatPr defaultRowHeight="15"/>
  <x:cols>
    <x:col min="1" max="1" width="6.28515625" customWidth="1"/>
    <x:col min="2" max="8" width="32.140625" customWidth="1"/>
  </x:cols>
  <x:sheetData>
    <x:row r="1">
      <x:c r="A1" t="s">
        <x:v>86</x:v>
      </x:c>
    </x:row>
    <x:row r="2">
      <x:c r="A2" t="s">
        <x:v>20</x:v>
      </x:c>
      <x:c r="B2" t="s">
        <x:v>21</x:v>
      </x:c>
      <x:c r="C2" t="s">
        <x:v>22</x:v>
      </x:c>
      <x:c r="D2" t="s">
        <x:v>23</x:v>
      </x:c>
      <x:c r="E2" t="s">
        <x:v>24</x:v>
      </x:c>
      <x:c r="F2" t="s">
        <x:v>14</x:v>
      </x:c>
      <x:c r="G2" t="s">
        <x:v>25</x:v>
      </x:c>
      <x:c r="H2" t="s">
        <x:v>26</x:v>
      </x:c>
    </x:row>
    <x:row r="3">
      <x:c r="A3">
        <x:v>2</x:v>
      </x:c>
      <x:c r="B3" t="s">
        <x:v>176</x:v>
      </x:c>
      <x:c r="C3" t="s">
        <x:v>176</x:v>
      </x:c>
      <x:c r="D3" t="s">
        <x:v>176</x:v>
      </x:c>
      <x:c r="E3" t="s">
        <x:v>176</x:v>
      </x:c>
      <x:c r="F3" t="s">
        <x:v>176</x:v>
      </x:c>
      <x:c r="G3" t="s">
        <x:v>176</x:v>
      </x:c>
      <x:c r="H3" t="s">
        <x:v>176</x:v>
      </x:c>
    </x:row>
    <x:row r="4">
      <x:c r="A4">
        <x:v>3</x:v>
      </x:c>
      <x:c r="B4" t="s">
        <x:v>177</x:v>
      </x:c>
      <x:c r="C4" t="s">
        <x:v>177</x:v>
      </x:c>
      <x:c r="D4" t="s">
        <x:v>177</x:v>
      </x:c>
      <x:c r="E4" t="s">
        <x:v>177</x:v>
      </x:c>
      <x:c r="F4" t="s">
        <x:v>177</x:v>
      </x:c>
      <x:c r="G4" t="s">
        <x:v>177</x:v>
      </x:c>
      <x:c r="H4" t="s">
        <x:v>177</x:v>
      </x:c>
    </x:row>
    <x:row r="5">
      <x:c r="A5">
        <x:v>4</x:v>
      </x:c>
      <x:c r="B5" t="s">
        <x:v>178</x:v>
      </x:c>
      <x:c r="C5" t="s">
        <x:v>178</x:v>
      </x:c>
      <x:c r="D5" t="s">
        <x:v>179</x:v>
      </x:c>
      <x:c r="E5" t="s">
        <x:v>178</x:v>
      </x:c>
      <x:c r="F5" t="s">
        <x:v>179</x:v>
      </x:c>
      <x:c r="G5" t="s">
        <x:v>179</x:v>
      </x:c>
      <x:c r="H5" t="s">
        <x:v>178</x:v>
      </x:c>
    </x:row>
    <x:row r="6">
      <x:c r="A6">
        <x:v>5</x:v>
      </x:c>
      <x:c r="B6" t="s">
        <x:v>180</x:v>
      </x:c>
      <x:c r="C6" t="s">
        <x:v>180</x:v>
      </x:c>
      <x:c r="D6" t="s">
        <x:v>180</x:v>
      </x:c>
      <x:c r="E6" t="s">
        <x:v>180</x:v>
      </x:c>
      <x:c r="F6" t="s">
        <x:v>180</x:v>
      </x:c>
      <x:c r="G6" t="s">
        <x:v>180</x:v>
      </x:c>
      <x:c r="H6" t="s">
        <x:v>180</x:v>
      </x:c>
    </x:row>
    <x:row r="7">
      <x:c r="A7">
        <x:v>6</x:v>
      </x:c>
      <x:c r="B7" t="s">
        <x:v>181</x:v>
      </x:c>
      <x:c r="C7" t="s">
        <x:v>181</x:v>
      </x:c>
      <x:c r="D7" t="s">
        <x:v>181</x:v>
      </x:c>
      <x:c r="E7" t="s">
        <x:v>181</x:v>
      </x:c>
      <x:c r="F7" t="s">
        <x:v>181</x:v>
      </x:c>
      <x:c r="G7" t="s">
        <x:v>181</x:v>
      </x:c>
      <x:c r="H7" t="s">
        <x:v>181</x:v>
      </x:c>
    </x:row>
    <x:row r="8">
      <x:c r="A8">
        <x:v>7</x:v>
      </x:c>
      <x:c r="B8" t="s">
        <x:v>182</x:v>
      </x:c>
      <x:c r="C8" t="s">
        <x:v>182</x:v>
      </x:c>
      <x:c r="D8" t="s">
        <x:v>182</x:v>
      </x:c>
      <x:c r="E8" t="s">
        <x:v>182</x:v>
      </x:c>
      <x:c r="F8" t="s">
        <x:v>182</x:v>
      </x:c>
      <x:c r="G8" t="s">
        <x:v>182</x:v>
      </x:c>
      <x:c r="H8" t="s">
        <x:v>182</x:v>
      </x:c>
    </x:row>
    <x:row r="9">
      <x:c r="A9">
        <x:v>8</x:v>
      </x:c>
      <x:c r="B9" t="s">
        <x:v>183</x:v>
      </x:c>
      <x:c r="C9" t="s">
        <x:v>184</x:v>
      </x:c>
      <x:c r="D9" t="s">
        <x:v>183</x:v>
      </x:c>
      <x:c r="E9" t="s">
        <x:v>183</x:v>
      </x:c>
      <x:c r="F9" t="s">
        <x:v>183</x:v>
      </x:c>
      <x:c r="G9" t="s">
        <x:v>183</x:v>
      </x:c>
      <x:c r="H9" t="s">
        <x:v>183</x:v>
      </x:c>
    </x:row>
    <x:row r="10">
      <x:c r="A10">
        <x:v>9</x:v>
      </x:c>
      <x:c r="B10" t="s">
        <x:v>185</x:v>
      </x:c>
      <x:c r="C10" t="s">
        <x:v>185</x:v>
      </x:c>
      <x:c r="D10" t="s">
        <x:v>185</x:v>
      </x:c>
      <x:c r="E10" t="s">
        <x:v>185</x:v>
      </x:c>
      <x:c r="F10" t="s">
        <x:v>185</x:v>
      </x:c>
      <x:c r="G10" t="s">
        <x:v>185</x:v>
      </x:c>
      <x:c r="H10" t="s">
        <x:v>185</x:v>
      </x:c>
    </x:row>
    <x:row r="11">
      <x:c r="A11">
        <x:v>10</x:v>
      </x:c>
      <x:c r="B11" t="s">
        <x:v>186</x:v>
      </x:c>
      <x:c r="C11" t="s">
        <x:v>186</x:v>
      </x:c>
      <x:c r="D11" t="s">
        <x:v>186</x:v>
      </x:c>
      <x:c r="E11" t="s">
        <x:v>186</x:v>
      </x:c>
      <x:c r="F11" t="s">
        <x:v>186</x:v>
      </x:c>
      <x:c r="G11" t="s">
        <x:v>186</x:v>
      </x:c>
      <x:c r="H11" t="s">
        <x:v>186</x:v>
      </x:c>
    </x:row>
    <x:row r="12">
      <x:c r="A12">
        <x:v>11</x:v>
      </x:c>
      <x:c r="B12" t="s">
        <x:v>187</x:v>
      </x:c>
      <x:c r="C12" t="s">
        <x:v>187</x:v>
      </x:c>
      <x:c r="D12" t="s">
        <x:v>188</x:v>
      </x:c>
      <x:c r="E12" t="s">
        <x:v>187</x:v>
      </x:c>
      <x:c r="F12" t="s">
        <x:v>187</x:v>
      </x:c>
      <x:c r="G12" t="s">
        <x:v>187</x:v>
      </x:c>
      <x:c r="H12" t="s">
        <x:v>187</x:v>
      </x:c>
    </x:row>
    <x:row r="13">
      <x:c r="A13">
        <x:v>12</x:v>
      </x:c>
      <x:c r="B13" t="s">
        <x:v>189</x:v>
      </x:c>
      <x:c r="C13" t="s">
        <x:v>189</x:v>
      </x:c>
      <x:c r="D13" t="s">
        <x:v>189</x:v>
      </x:c>
      <x:c r="E13" t="s">
        <x:v>189</x:v>
      </x:c>
      <x:c r="F13" t="s">
        <x:v>189</x:v>
      </x:c>
      <x:c r="G13" t="s">
        <x:v>189</x:v>
      </x:c>
      <x:c r="H13" t="s">
        <x:v>189</x:v>
      </x:c>
    </x:row>
    <x:row r="16">
      <x:c r="A16" t="s">
        <x:v>19</x:v>
      </x:c>
    </x:row>
    <x:row r="17">
      <x:c r="A17" t="s">
        <x:v>20</x:v>
      </x:c>
      <x:c r="B17" t="s">
        <x:v>21</x:v>
      </x:c>
      <x:c r="C17" t="s">
        <x:v>22</x:v>
      </x:c>
      <x:c r="D17" t="s">
        <x:v>23</x:v>
      </x:c>
      <x:c r="E17" t="s">
        <x:v>24</x:v>
      </x:c>
      <x:c r="F17" t="s">
        <x:v>14</x:v>
      </x:c>
      <x:c r="G17" t="s">
        <x:v>25</x:v>
      </x:c>
      <x:c r="H17" t="s">
        <x:v>26</x:v>
      </x:c>
    </x:row>
    <x:row r="18">
      <x:c r="A18">
        <x:v>2</x:v>
      </x:c>
      <x:c r="B18" t="s">
        <x:v>190</x:v>
      </x:c>
      <x:c r="C18" t="s">
        <x:v>190</x:v>
      </x:c>
      <x:c r="D18" t="s">
        <x:v>190</x:v>
      </x:c>
      <x:c r="E18" t="s">
        <x:v>190</x:v>
      </x:c>
      <x:c r="F18" t="s">
        <x:v>190</x:v>
      </x:c>
      <x:c r="G18" t="s">
        <x:v>190</x:v>
      </x:c>
      <x:c r="H18" t="s">
        <x:v>190</x:v>
      </x:c>
    </x:row>
    <x:row r="19">
      <x:c r="A19">
        <x:v>3</x:v>
      </x:c>
      <x:c r="B19" t="s">
        <x:v>191</x:v>
      </x:c>
      <x:c r="C19" t="s">
        <x:v>191</x:v>
      </x:c>
      <x:c r="D19" t="s">
        <x:v>191</x:v>
      </x:c>
      <x:c r="E19" t="s">
        <x:v>191</x:v>
      </x:c>
      <x:c r="F19" t="s">
        <x:v>191</x:v>
      </x:c>
      <x:c r="G19" t="s">
        <x:v>191</x:v>
      </x:c>
      <x:c r="H19" t="s">
        <x:v>191</x:v>
      </x:c>
    </x:row>
    <x:row r="20">
      <x:c r="A20">
        <x:v>4</x:v>
      </x:c>
      <x:c r="B20" t="s">
        <x:v>187</x:v>
      </x:c>
      <x:c r="C20" t="s">
        <x:v>187</x:v>
      </x:c>
      <x:c r="D20" t="s">
        <x:v>187</x:v>
      </x:c>
      <x:c r="E20" t="s">
        <x:v>187</x:v>
      </x:c>
      <x:c r="F20" t="s">
        <x:v>187</x:v>
      </x:c>
      <x:c r="G20" t="s">
        <x:v>187</x:v>
      </x:c>
      <x:c r="H20" t="s">
        <x:v>187</x:v>
      </x:c>
    </x:row>
    <x:row r="21">
      <x:c r="A21">
        <x:v>5</x:v>
      </x:c>
      <x:c r="B21" t="s">
        <x:v>192</x:v>
      </x:c>
      <x:c r="C21" t="s">
        <x:v>192</x:v>
      </x:c>
      <x:c r="D21" t="s">
        <x:v>192</x:v>
      </x:c>
      <x:c r="E21" t="s">
        <x:v>192</x:v>
      </x:c>
      <x:c r="F21" t="s">
        <x:v>192</x:v>
      </x:c>
      <x:c r="G21" t="s">
        <x:v>192</x:v>
      </x:c>
      <x:c r="H21" t="s">
        <x:v>192</x:v>
      </x:c>
    </x:row>
    <x:row r="22">
      <x:c r="A22">
        <x:v>6</x:v>
      </x:c>
      <x:c r="B22" t="s">
        <x:v>178</x:v>
      </x:c>
      <x:c r="C22" t="s">
        <x:v>178</x:v>
      </x:c>
      <x:c r="D22" t="s">
        <x:v>193</x:v>
      </x:c>
      <x:c r="E22" t="s">
        <x:v>178</x:v>
      </x:c>
      <x:c r="F22" t="s">
        <x:v>178</x:v>
      </x:c>
      <x:c r="G22" t="s">
        <x:v>178</x:v>
      </x:c>
      <x:c r="H22" t="s">
        <x:v>178</x:v>
      </x:c>
    </x:row>
    <x:row r="23">
      <x:c r="A23">
        <x:v>7</x:v>
      </x:c>
      <x:c r="B23" t="s">
        <x:v>194</x:v>
      </x:c>
      <x:c r="C23" t="s">
        <x:v>194</x:v>
      </x:c>
      <x:c r="D23" t="s">
        <x:v>194</x:v>
      </x:c>
      <x:c r="E23" t="s">
        <x:v>194</x:v>
      </x:c>
      <x:c r="F23" t="s">
        <x:v>194</x:v>
      </x:c>
      <x:c r="G23" t="s">
        <x:v>194</x:v>
      </x:c>
      <x:c r="H23" t="s">
        <x:v>195</x:v>
      </x:c>
    </x:row>
    <x:row r="24">
      <x:c r="A24">
        <x:v>8</x:v>
      </x:c>
      <x:c r="B24" t="s">
        <x:v>196</x:v>
      </x:c>
      <x:c r="C24" t="s">
        <x:v>196</x:v>
      </x:c>
      <x:c r="D24" t="s">
        <x:v>196</x:v>
      </x:c>
      <x:c r="E24" t="s">
        <x:v>196</x:v>
      </x:c>
      <x:c r="F24" t="s">
        <x:v>196</x:v>
      </x:c>
      <x:c r="G24" t="s">
        <x:v>196</x:v>
      </x:c>
      <x:c r="H24" t="s">
        <x:v>196</x:v>
      </x:c>
    </x:row>
    <x:row r="25">
      <x:c r="A25">
        <x:v>9</x:v>
      </x:c>
      <x:c r="B25" t="s">
        <x:v>189</x:v>
      </x:c>
      <x:c r="C25" t="s">
        <x:v>189</x:v>
      </x:c>
      <x:c r="D25" t="s">
        <x:v>189</x:v>
      </x:c>
      <x:c r="E25" t="s">
        <x:v>189</x:v>
      </x:c>
      <x:c r="F25" t="s">
        <x:v>189</x:v>
      </x:c>
      <x:c r="G25" t="s">
        <x:v>189</x:v>
      </x:c>
      <x:c r="H25" t="s">
        <x:v>189</x:v>
      </x:c>
    </x:row>
    <x:row r="26">
      <x:c r="A26">
        <x:v>10</x:v>
      </x:c>
      <x:c r="B26" t="s">
        <x:v>197</x:v>
      </x:c>
      <x:c r="C26" t="s">
        <x:v>197</x:v>
      </x:c>
      <x:c r="D26" t="s">
        <x:v>197</x:v>
      </x:c>
      <x:c r="E26" t="s">
        <x:v>197</x:v>
      </x:c>
      <x:c r="F26" t="s">
        <x:v>197</x:v>
      </x:c>
      <x:c r="G26" t="s">
        <x:v>197</x:v>
      </x:c>
      <x:c r="H26" t="s">
        <x:v>197</x:v>
      </x:c>
    </x:row>
    <x:row r="27">
      <x:c r="A27">
        <x:v>11</x:v>
      </x:c>
      <x:c r="B27" t="s">
        <x:v>198</x:v>
      </x:c>
      <x:c r="C27" t="s">
        <x:v>198</x:v>
      </x:c>
      <x:c r="D27" t="s">
        <x:v>198</x:v>
      </x:c>
      <x:c r="E27" t="s">
        <x:v>198</x:v>
      </x:c>
      <x:c r="F27" t="s">
        <x:v>198</x:v>
      </x:c>
      <x:c r="G27" t="s">
        <x:v>198</x:v>
      </x:c>
      <x:c r="H27" t="s">
        <x:v>198</x:v>
      </x:c>
    </x:row>
    <x:row r="28">
      <x:c r="A28">
        <x:v>12</x:v>
      </x:c>
      <x:c r="B28" t="s">
        <x:v>199</x:v>
      </x:c>
      <x:c r="C28" t="s">
        <x:v>199</x:v>
      </x:c>
      <x:c r="D28" t="s">
        <x:v>199</x:v>
      </x:c>
      <x:c r="E28" t="s">
        <x:v>199</x:v>
      </x:c>
      <x:c r="F28" t="s">
        <x:v>199</x:v>
      </x:c>
      <x:c r="G28" t="s">
        <x:v>199</x:v>
      </x:c>
      <x:c r="H28" t="s">
        <x:v>199</x:v>
      </x:c>
    </x:row>
    <x:row r="30">
      <x:c r="A30" t="s">
        <x:v>40</x:v>
      </x:c>
    </x:row>
    <x:row r="31">
      <x:c r="A31" t="s">
        <x:v>20</x:v>
      </x:c>
      <x:c r="B31" t="s">
        <x:v>21</x:v>
      </x:c>
      <x:c r="C31" t="s">
        <x:v>22</x:v>
      </x:c>
      <x:c r="D31" t="s">
        <x:v>23</x:v>
      </x:c>
      <x:c r="E31" t="s">
        <x:v>24</x:v>
      </x:c>
      <x:c r="F31" t="s">
        <x:v>14</x:v>
      </x:c>
      <x:c r="G31" t="s">
        <x:v>25</x:v>
      </x:c>
      <x:c r="H31" t="s">
        <x:v>26</x:v>
      </x:c>
    </x:row>
    <x:row r="32">
      <x:c r="A32">
        <x:v>2</x:v>
      </x:c>
      <x:c r="B32" t="s">
        <x:v>200</x:v>
      </x:c>
      <x:c r="C32" t="s">
        <x:v>200</x:v>
      </x:c>
      <x:c r="D32" t="s">
        <x:v>201</x:v>
      </x:c>
      <x:c r="E32" t="s">
        <x:v>200</x:v>
      </x:c>
      <x:c r="F32" t="s">
        <x:v>200</x:v>
      </x:c>
      <x:c r="G32" t="s">
        <x:v>200</x:v>
      </x:c>
      <x:c r="H32" t="s">
        <x:v>200</x:v>
      </x:c>
    </x:row>
    <x:row r="33">
      <x:c r="A33">
        <x:v>3</x:v>
      </x:c>
      <x:c r="B33" t="s">
        <x:v>190</x:v>
      </x:c>
      <x:c r="C33" t="s">
        <x:v>190</x:v>
      </x:c>
      <x:c r="D33" t="s">
        <x:v>190</x:v>
      </x:c>
      <x:c r="E33" t="s">
        <x:v>190</x:v>
      </x:c>
      <x:c r="F33" t="s">
        <x:v>190</x:v>
      </x:c>
      <x:c r="G33" t="s">
        <x:v>190</x:v>
      </x:c>
      <x:c r="H33" t="s">
        <x:v>190</x:v>
      </x:c>
    </x:row>
    <x:row r="34">
      <x:c r="A34">
        <x:v>4</x:v>
      </x:c>
      <x:c r="B34" t="s">
        <x:v>196</x:v>
      </x:c>
      <x:c r="C34" t="s">
        <x:v>196</x:v>
      </x:c>
      <x:c r="D34" t="s">
        <x:v>196</x:v>
      </x:c>
      <x:c r="E34" t="s">
        <x:v>196</x:v>
      </x:c>
      <x:c r="F34" t="s">
        <x:v>196</x:v>
      </x:c>
      <x:c r="G34" t="s">
        <x:v>196</x:v>
      </x:c>
      <x:c r="H34" t="s">
        <x:v>196</x:v>
      </x:c>
    </x:row>
    <x:row r="35">
      <x:c r="A35">
        <x:v>5</x:v>
      </x:c>
      <x:c r="B35" t="s">
        <x:v>202</x:v>
      </x:c>
      <x:c r="C35" t="s">
        <x:v>202</x:v>
      </x:c>
      <x:c r="D35" t="s">
        <x:v>203</x:v>
      </x:c>
      <x:c r="E35" t="s">
        <x:v>202</x:v>
      </x:c>
      <x:c r="F35" t="s">
        <x:v>202</x:v>
      </x:c>
      <x:c r="G35" t="s">
        <x:v>202</x:v>
      </x:c>
      <x:c r="H35" t="s">
        <x:v>202</x:v>
      </x:c>
    </x:row>
    <x:row r="36">
      <x:c r="A36">
        <x:v>6</x:v>
      </x:c>
      <x:c r="B36" t="s">
        <x:v>189</x:v>
      </x:c>
      <x:c r="C36" t="s">
        <x:v>189</x:v>
      </x:c>
      <x:c r="D36" t="s">
        <x:v>189</x:v>
      </x:c>
      <x:c r="E36" t="s">
        <x:v>189</x:v>
      </x:c>
      <x:c r="F36" t="s">
        <x:v>189</x:v>
      </x:c>
      <x:c r="G36" t="s">
        <x:v>189</x:v>
      </x:c>
      <x:c r="H36" t="s">
        <x:v>189</x:v>
      </x:c>
    </x:row>
    <x:row r="37">
      <x:c r="A37">
        <x:v>7</x:v>
      </x:c>
      <x:c r="B37" t="s">
        <x:v>190</x:v>
      </x:c>
      <x:c r="C37" t="s">
        <x:v>190</x:v>
      </x:c>
      <x:c r="D37" t="s">
        <x:v>190</x:v>
      </x:c>
      <x:c r="E37" t="s">
        <x:v>190</x:v>
      </x:c>
      <x:c r="F37" t="s">
        <x:v>190</x:v>
      </x:c>
      <x:c r="G37" t="s">
        <x:v>190</x:v>
      </x:c>
      <x:c r="H37" t="s">
        <x:v>190</x:v>
      </x:c>
    </x:row>
    <x:row r="38">
      <x:c r="A38">
        <x:v>8</x:v>
      </x:c>
      <x:c r="B38" t="s">
        <x:v>198</x:v>
      </x:c>
      <x:c r="C38" t="s">
        <x:v>198</x:v>
      </x:c>
      <x:c r="D38" t="s">
        <x:v>179</x:v>
      </x:c>
      <x:c r="E38" t="s">
        <x:v>198</x:v>
      </x:c>
      <x:c r="F38" t="s">
        <x:v>179</x:v>
      </x:c>
      <x:c r="G38" t="s">
        <x:v>179</x:v>
      </x:c>
      <x:c r="H38" t="s">
        <x:v>198</x:v>
      </x:c>
    </x:row>
    <x:row r="39">
      <x:c r="A39">
        <x:v>9</x:v>
      </x:c>
      <x:c r="B39" t="s">
        <x:v>204</x:v>
      </x:c>
      <x:c r="C39" t="s">
        <x:v>204</x:v>
      </x:c>
      <x:c r="D39" t="s">
        <x:v>204</x:v>
      </x:c>
      <x:c r="E39" t="s">
        <x:v>204</x:v>
      </x:c>
      <x:c r="F39" t="s">
        <x:v>204</x:v>
      </x:c>
      <x:c r="G39" t="s">
        <x:v>204</x:v>
      </x:c>
      <x:c r="H39" t="s">
        <x:v>204</x:v>
      </x:c>
    </x:row>
    <x:row r="40">
      <x:c r="A40">
        <x:v>10</x:v>
      </x:c>
      <x:c r="B40" t="s">
        <x:v>199</x:v>
      </x:c>
      <x:c r="C40" t="s">
        <x:v>199</x:v>
      </x:c>
      <x:c r="D40" t="s">
        <x:v>199</x:v>
      </x:c>
      <x:c r="E40" t="s">
        <x:v>199</x:v>
      </x:c>
      <x:c r="F40" t="s">
        <x:v>199</x:v>
      </x:c>
      <x:c r="G40" t="s">
        <x:v>199</x:v>
      </x:c>
      <x:c r="H40" t="s">
        <x:v>199</x:v>
      </x:c>
    </x:row>
    <x:row r="41">
      <x:c r="A41">
        <x:v>11</x:v>
      </x:c>
      <x:c r="B41" t="s">
        <x:v>205</x:v>
      </x:c>
      <x:c r="C41" t="s">
        <x:v>205</x:v>
      </x:c>
      <x:c r="D41" t="s">
        <x:v>205</x:v>
      </x:c>
      <x:c r="E41" t="s">
        <x:v>205</x:v>
      </x:c>
      <x:c r="F41" t="s">
        <x:v>205</x:v>
      </x:c>
      <x:c r="G41" t="s">
        <x:v>205</x:v>
      </x:c>
      <x:c r="H41" t="s">
        <x:v>206</x:v>
      </x:c>
    </x:row>
    <x:row r="42">
      <x:c r="A42">
        <x:v>12</x:v>
      </x:c>
      <x:c r="B42" t="s">
        <x:v>182</x:v>
      </x:c>
      <x:c r="C42" t="s">
        <x:v>182</x:v>
      </x:c>
      <x:c r="D42" t="s">
        <x:v>182</x:v>
      </x:c>
      <x:c r="E42" t="s">
        <x:v>182</x:v>
      </x:c>
      <x:c r="F42" t="s">
        <x:v>182</x:v>
      </x:c>
      <x:c r="G42" t="s">
        <x:v>182</x:v>
      </x:c>
      <x:c r="H42" t="s">
        <x:v>182</x:v>
      </x:c>
    </x:row>
    <x:row r="45">
      <x:c r="A45" t="s">
        <x:v>51</x:v>
      </x:c>
    </x:row>
    <x:row r="46">
      <x:c r="A46" t="s">
        <x:v>20</x:v>
      </x:c>
      <x:c r="B46" t="s">
        <x:v>21</x:v>
      </x:c>
      <x:c r="C46" t="s">
        <x:v>22</x:v>
      </x:c>
      <x:c r="D46" t="s">
        <x:v>23</x:v>
      </x:c>
      <x:c r="E46" t="s">
        <x:v>24</x:v>
      </x:c>
      <x:c r="F46" t="s">
        <x:v>14</x:v>
      </x:c>
      <x:c r="G46" t="s">
        <x:v>25</x:v>
      </x:c>
      <x:c r="H46" t="s">
        <x:v>26</x:v>
      </x:c>
    </x:row>
    <x:row r="47">
      <x:c r="A47">
        <x:v>2</x:v>
      </x:c>
      <x:c r="B47" t="s">
        <x:v>202</x:v>
      </x:c>
      <x:c r="C47" t="s">
        <x:v>202</x:v>
      </x:c>
      <x:c r="D47" t="s">
        <x:v>202</x:v>
      </x:c>
      <x:c r="E47" t="s">
        <x:v>202</x:v>
      </x:c>
      <x:c r="F47" t="s">
        <x:v>202</x:v>
      </x:c>
      <x:c r="G47" t="s">
        <x:v>202</x:v>
      </x:c>
      <x:c r="H47" t="s">
        <x:v>207</x:v>
      </x:c>
    </x:row>
    <x:row r="48">
      <x:c r="A48">
        <x:v>3</x:v>
      </x:c>
      <x:c r="B48" t="s">
        <x:v>191</x:v>
      </x:c>
      <x:c r="C48" t="s">
        <x:v>191</x:v>
      </x:c>
      <x:c r="D48" t="s">
        <x:v>208</x:v>
      </x:c>
      <x:c r="E48" t="s">
        <x:v>191</x:v>
      </x:c>
      <x:c r="F48" t="s">
        <x:v>191</x:v>
      </x:c>
      <x:c r="G48" t="s">
        <x:v>191</x:v>
      </x:c>
      <x:c r="H48" t="s">
        <x:v>191</x:v>
      </x:c>
    </x:row>
    <x:row r="49">
      <x:c r="A49">
        <x:v>4</x:v>
      </x:c>
      <x:c r="B49" t="s">
        <x:v>177</x:v>
      </x:c>
      <x:c r="C49" t="s">
        <x:v>177</x:v>
      </x:c>
      <x:c r="D49" t="s">
        <x:v>177</x:v>
      </x:c>
      <x:c r="E49" t="s">
        <x:v>177</x:v>
      </x:c>
      <x:c r="F49" t="s">
        <x:v>177</x:v>
      </x:c>
      <x:c r="G49" t="s">
        <x:v>177</x:v>
      </x:c>
      <x:c r="H49" t="s">
        <x:v>209</x:v>
      </x:c>
    </x:row>
    <x:row r="50">
      <x:c r="A50">
        <x:v>5</x:v>
      </x:c>
      <x:c r="B50" t="s">
        <x:v>176</x:v>
      </x:c>
      <x:c r="C50" t="s">
        <x:v>176</x:v>
      </x:c>
      <x:c r="D50" t="s">
        <x:v>176</x:v>
      </x:c>
      <x:c r="E50" t="s">
        <x:v>176</x:v>
      </x:c>
      <x:c r="F50" t="s">
        <x:v>176</x:v>
      </x:c>
      <x:c r="G50" t="s">
        <x:v>176</x:v>
      </x:c>
      <x:c r="H50" t="s">
        <x:v>176</x:v>
      </x:c>
    </x:row>
    <x:row r="51">
      <x:c r="A51">
        <x:v>6</x:v>
      </x:c>
      <x:c r="B51" t="s">
        <x:v>191</x:v>
      </x:c>
      <x:c r="C51" t="s">
        <x:v>191</x:v>
      </x:c>
      <x:c r="D51" t="s">
        <x:v>191</x:v>
      </x:c>
      <x:c r="E51" t="s">
        <x:v>191</x:v>
      </x:c>
      <x:c r="F51" t="s">
        <x:v>191</x:v>
      </x:c>
      <x:c r="G51" t="s">
        <x:v>191</x:v>
      </x:c>
      <x:c r="H51" t="s">
        <x:v>191</x:v>
      </x:c>
    </x:row>
    <x:row r="52">
      <x:c r="A52">
        <x:v>7</x:v>
      </x:c>
      <x:c r="B52" s="44" t="s">
        <x:v>210</x:v>
      </x:c>
      <x:c r="C52" s="44" t="s">
        <x:v>210</x:v>
      </x:c>
      <x:c r="D52" s="44" t="s">
        <x:v>186</x:v>
      </x:c>
      <x:c r="E52" s="44" t="s">
        <x:v>210</x:v>
      </x:c>
      <x:c r="F52" s="44" t="s">
        <x:v>186</x:v>
      </x:c>
      <x:c r="G52" s="44" t="s">
        <x:v>186</x:v>
      </x:c>
      <x:c r="H52" s="44" t="s">
        <x:v>210</x:v>
      </x:c>
    </x:row>
    <x:row r="53">
      <x:c r="A53">
        <x:v>8</x:v>
      </x:c>
      <x:c r="B53" t="s">
        <x:v>178</x:v>
      </x:c>
      <x:c r="C53" t="s">
        <x:v>178</x:v>
      </x:c>
      <x:c r="D53" t="s">
        <x:v>178</x:v>
      </x:c>
      <x:c r="E53" t="s">
        <x:v>178</x:v>
      </x:c>
      <x:c r="F53" t="s">
        <x:v>178</x:v>
      </x:c>
      <x:c r="G53" t="s">
        <x:v>178</x:v>
      </x:c>
      <x:c r="H53" t="s">
        <x:v>211</x:v>
      </x:c>
    </x:row>
    <x:row r="54">
      <x:c r="A54">
        <x:v>9</x:v>
      </x:c>
      <x:c r="B54" t="s">
        <x:v>212</x:v>
      </x:c>
      <x:c r="C54" t="s">
        <x:v>212</x:v>
      </x:c>
      <x:c r="D54" t="s">
        <x:v>213</x:v>
      </x:c>
      <x:c r="E54" t="s">
        <x:v>212</x:v>
      </x:c>
      <x:c r="F54" t="s">
        <x:v>212</x:v>
      </x:c>
      <x:c r="G54" t="s">
        <x:v>212</x:v>
      </x:c>
      <x:c r="H54" t="s">
        <x:v>212</x:v>
      </x:c>
    </x:row>
    <x:row r="55">
      <x:c r="A55">
        <x:v>10</x:v>
      </x:c>
      <x:c r="B55" t="s">
        <x:v>214</x:v>
      </x:c>
      <x:c r="C55" t="s">
        <x:v>214</x:v>
      </x:c>
      <x:c r="D55" t="s">
        <x:v>214</x:v>
      </x:c>
      <x:c r="E55" t="s">
        <x:v>214</x:v>
      </x:c>
      <x:c r="F55" t="s">
        <x:v>214</x:v>
      </x:c>
      <x:c r="G55" t="s">
        <x:v>214</x:v>
      </x:c>
      <x:c r="H55" t="s">
        <x:v>214</x:v>
      </x:c>
    </x:row>
    <x:row r="56">
      <x:c r="A56">
        <x:v>11</x:v>
      </x:c>
      <x:c r="B56" t="s">
        <x:v>187</x:v>
      </x:c>
      <x:c r="C56" t="s">
        <x:v>187</x:v>
      </x:c>
      <x:c r="D56" t="s">
        <x:v>215</x:v>
      </x:c>
      <x:c r="E56" t="s">
        <x:v>187</x:v>
      </x:c>
      <x:c r="F56" t="s">
        <x:v>215</x:v>
      </x:c>
      <x:c r="G56" t="s">
        <x:v>215</x:v>
      </x:c>
      <x:c r="H56" t="s">
        <x:v>187</x:v>
      </x:c>
    </x:row>
    <x:row r="57">
      <x:c r="A57">
        <x:v>12</x:v>
      </x:c>
      <x:c r="B57" t="s">
        <x:v>212</x:v>
      </x:c>
      <x:c r="C57" t="s">
        <x:v>212</x:v>
      </x:c>
      <x:c r="D57" t="s">
        <x:v>212</x:v>
      </x:c>
      <x:c r="E57" t="s">
        <x:v>212</x:v>
      </x:c>
      <x:c r="F57" t="s">
        <x:v>212</x:v>
      </x:c>
      <x:c r="G57" t="s">
        <x:v>212</x:v>
      </x:c>
      <x:c r="H57" t="s">
        <x:v>212</x:v>
      </x:c>
    </x:row>
    <x:row r="59" ht="21">
      <x:c r="A59" s="8" t="s">
        <x:v>60</x:v>
      </x:c>
      <x:c r="B59" s="3"/>
      <x:c r="C59" s="3"/>
      <x:c r="D59" s="3"/>
      <x:c r="E59" s="3"/>
      <x:c r="F59" s="3"/>
      <x:c r="G59" s="3"/>
      <x:c r="H59" s="3"/>
    </x:row>
    <x:row r="60" ht="15.75">
      <x:c r="A60" s="4" t="s">
        <x:v>86</x:v>
      </x:c>
      <x:c r="B60" s="3"/>
      <x:c r="C60" s="3"/>
      <x:c r="D60" s="3"/>
      <x:c r="E60" s="3"/>
      <x:c r="F60" s="3"/>
      <x:c r="G60" s="3"/>
      <x:c r="H60" s="3"/>
    </x:row>
    <x:row r="61">
      <x:c r="A61" s="1" t="s">
        <x:v>61</x:v>
      </x:c>
      <x:c r="B61" s="1" t="s">
        <x:v>21</x:v>
      </x:c>
      <x:c r="C61" s="1" t="s">
        <x:v>22</x:v>
      </x:c>
      <x:c r="D61" s="1" t="s">
        <x:v>23</x:v>
      </x:c>
      <x:c r="E61" s="1" t="s">
        <x:v>24</x:v>
      </x:c>
      <x:c r="F61" s="1" t="s">
        <x:v>14</x:v>
      </x:c>
      <x:c r="G61" s="1" t="s">
        <x:v>25</x:v>
      </x:c>
      <x:c r="H61" s="1" t="s">
        <x:v>26</x:v>
      </x:c>
    </x:row>
    <x:row r="62">
      <x:c r="A62">
        <x:v>1</x:v>
      </x:c>
      <x:c r="B62" t="s">
        <x:v>182</x:v>
      </x:c>
      <x:c r="C62" t="s">
        <x:v>182</x:v>
      </x:c>
      <x:c r="D62" t="s">
        <x:v>186</x:v>
      </x:c>
      <x:c r="E62" t="s">
        <x:v>182</x:v>
      </x:c>
      <x:c r="F62" t="s">
        <x:v>186</x:v>
      </x:c>
      <x:c r="G62" t="s">
        <x:v>186</x:v>
      </x:c>
      <x:c r="H62" t="s">
        <x:v>182</x:v>
      </x:c>
    </x:row>
    <x:row r="63">
      <x:c r="A63">
        <x:v>2</x:v>
      </x:c>
      <x:c r="B63" t="s">
        <x:v>216</x:v>
      </x:c>
      <x:c r="C63" t="s">
        <x:v>216</x:v>
      </x:c>
      <x:c r="D63" t="s">
        <x:v>216</x:v>
      </x:c>
      <x:c r="E63" t="s">
        <x:v>216</x:v>
      </x:c>
      <x:c r="F63" t="s">
        <x:v>216</x:v>
      </x:c>
      <x:c r="G63" t="s">
        <x:v>216</x:v>
      </x:c>
      <x:c r="H63" t="s">
        <x:v>216</x:v>
      </x:c>
    </x:row>
    <x:row r="64">
      <x:c r="A64">
        <x:v>3</x:v>
      </x:c>
      <x:c r="B64" t="s">
        <x:v>217</x:v>
      </x:c>
      <x:c r="C64" t="s">
        <x:v>217</x:v>
      </x:c>
      <x:c r="D64" t="s">
        <x:v>217</x:v>
      </x:c>
      <x:c r="E64" t="s">
        <x:v>217</x:v>
      </x:c>
      <x:c r="F64" t="s">
        <x:v>217</x:v>
      </x:c>
      <x:c r="G64" t="s">
        <x:v>217</x:v>
      </x:c>
      <x:c r="H64" t="s">
        <x:v>217</x:v>
      </x:c>
    </x:row>
    <x:row r="65">
      <x:c r="A65">
        <x:v>4</x:v>
      </x:c>
      <x:c r="B65" t="s">
        <x:v>218</x:v>
      </x:c>
      <x:c r="C65" t="s">
        <x:v>218</x:v>
      </x:c>
      <x:c r="D65" t="s">
        <x:v>218</x:v>
      </x:c>
      <x:c r="E65" t="s">
        <x:v>218</x:v>
      </x:c>
      <x:c r="F65" t="s">
        <x:v>219</x:v>
      </x:c>
      <x:c r="G65" t="s">
        <x:v>219</x:v>
      </x:c>
      <x:c r="H65" t="s">
        <x:v>218</x:v>
      </x:c>
    </x:row>
    <x:row r="66">
      <x:c r="A66">
        <x:v>5</x:v>
      </x:c>
      <x:c r="B66" t="s">
        <x:v>220</x:v>
      </x:c>
      <x:c r="C66" t="s">
        <x:v>220</x:v>
      </x:c>
      <x:c r="D66" t="s">
        <x:v>220</x:v>
      </x:c>
      <x:c r="E66" t="s">
        <x:v>220</x:v>
      </x:c>
      <x:c r="F66" t="s">
        <x:v>220</x:v>
      </x:c>
      <x:c r="G66" t="s">
        <x:v>220</x:v>
      </x:c>
      <x:c r="H66" t="s">
        <x:v>220</x:v>
      </x:c>
    </x:row>
    <x:row r="67">
      <x:c r="A67">
        <x:v>6</x:v>
      </x:c>
      <x:c r="B67" t="s">
        <x:v>221</x:v>
      </x:c>
      <x:c r="C67" t="s">
        <x:v>221</x:v>
      </x:c>
      <x:c r="D67" t="s">
        <x:v>221</x:v>
      </x:c>
      <x:c r="E67" t="s">
        <x:v>221</x:v>
      </x:c>
      <x:c r="F67" t="s">
        <x:v>221</x:v>
      </x:c>
      <x:c r="G67" t="s">
        <x:v>221</x:v>
      </x:c>
      <x:c r="H67" t="s">
        <x:v>221</x:v>
      </x:c>
    </x:row>
    <x:row r="69" ht="15.75">
      <x:c r="A69" s="4" t="s">
        <x:v>19</x:v>
      </x:c>
      <x:c r="B69" s="3"/>
      <x:c r="C69" s="3"/>
      <x:c r="D69" s="3"/>
      <x:c r="E69" s="3"/>
      <x:c r="F69" s="3"/>
      <x:c r="G69" s="3"/>
      <x:c r="H69" s="3"/>
    </x:row>
    <x:row r="70">
      <x:c r="A70" s="1" t="s">
        <x:v>61</x:v>
      </x:c>
      <x:c r="B70" s="1" t="s">
        <x:v>21</x:v>
      </x:c>
      <x:c r="C70" s="1" t="s">
        <x:v>22</x:v>
      </x:c>
      <x:c r="D70" s="1" t="s">
        <x:v>23</x:v>
      </x:c>
      <x:c r="E70" s="1" t="s">
        <x:v>24</x:v>
      </x:c>
      <x:c r="F70" s="1" t="s">
        <x:v>14</x:v>
      </x:c>
      <x:c r="G70" s="1" t="s">
        <x:v>25</x:v>
      </x:c>
      <x:c r="H70" s="1" t="s">
        <x:v>26</x:v>
      </x:c>
    </x:row>
    <x:row r="71">
      <x:c r="A71">
        <x:v>1</x:v>
      </x:c>
      <x:c r="B71" t="s">
        <x:v>190</x:v>
      </x:c>
      <x:c r="C71" t="s">
        <x:v>190</x:v>
      </x:c>
      <x:c r="D71" t="s">
        <x:v>190</x:v>
      </x:c>
      <x:c r="E71" t="s">
        <x:v>190</x:v>
      </x:c>
      <x:c r="F71" t="s">
        <x:v>190</x:v>
      </x:c>
      <x:c r="G71" t="s">
        <x:v>190</x:v>
      </x:c>
      <x:c r="H71" t="s">
        <x:v>190</x:v>
      </x:c>
    </x:row>
    <x:row r="72">
      <x:c r="A72">
        <x:v>2</x:v>
      </x:c>
      <x:c r="B72" t="s">
        <x:v>222</x:v>
      </x:c>
      <x:c r="C72" t="s">
        <x:v>222</x:v>
      </x:c>
      <x:c r="D72" t="s">
        <x:v>222</x:v>
      </x:c>
      <x:c r="E72" t="s">
        <x:v>222</x:v>
      </x:c>
      <x:c r="F72" t="s">
        <x:v>222</x:v>
      </x:c>
      <x:c r="G72" t="s">
        <x:v>222</x:v>
      </x:c>
      <x:c r="H72" t="s">
        <x:v>222</x:v>
      </x:c>
    </x:row>
    <x:row r="73">
      <x:c r="A73">
        <x:v>3</x:v>
      </x:c>
      <x:c r="B73" t="s">
        <x:v>223</x:v>
      </x:c>
      <x:c r="C73" t="s">
        <x:v>223</x:v>
      </x:c>
      <x:c r="D73" t="s">
        <x:v>223</x:v>
      </x:c>
      <x:c r="E73" t="s">
        <x:v>223</x:v>
      </x:c>
      <x:c r="F73" t="s">
        <x:v>223</x:v>
      </x:c>
      <x:c r="G73" t="s">
        <x:v>223</x:v>
      </x:c>
      <x:c r="H73" t="s">
        <x:v>223</x:v>
      </x:c>
    </x:row>
    <x:row r="74">
      <x:c r="A74">
        <x:v>4</x:v>
      </x:c>
      <x:c r="B74" t="s">
        <x:v>224</x:v>
      </x:c>
      <x:c r="C74" t="s">
        <x:v>225</x:v>
      </x:c>
      <x:c r="D74" t="s">
        <x:v>225</x:v>
      </x:c>
      <x:c r="E74" t="s">
        <x:v>225</x:v>
      </x:c>
      <x:c r="F74" t="s">
        <x:v>225</x:v>
      </x:c>
      <x:c r="G74" t="s">
        <x:v>224</x:v>
      </x:c>
      <x:c r="H74" t="s">
        <x:v>225</x:v>
      </x:c>
    </x:row>
    <x:row r="75">
      <x:c r="A75">
        <x:v>5</x:v>
      </x:c>
      <x:c r="B75" t="s">
        <x:v>226</x:v>
      </x:c>
      <x:c r="C75" t="s">
        <x:v>227</x:v>
      </x:c>
      <x:c r="D75" t="s">
        <x:v>226</x:v>
      </x:c>
      <x:c r="E75" t="s">
        <x:v>226</x:v>
      </x:c>
      <x:c r="F75" t="s">
        <x:v>226</x:v>
      </x:c>
      <x:c r="G75" t="s">
        <x:v>226</x:v>
      </x:c>
      <x:c r="H75" t="s">
        <x:v>226</x:v>
      </x:c>
    </x:row>
    <x:row r="76">
      <x:c r="A76">
        <x:v>6</x:v>
      </x:c>
      <x:c r="B76" t="s">
        <x:v>217</x:v>
      </x:c>
      <x:c r="C76" t="s">
        <x:v>217</x:v>
      </x:c>
      <x:c r="D76" t="s">
        <x:v>217</x:v>
      </x:c>
      <x:c r="E76" t="s">
        <x:v>217</x:v>
      </x:c>
      <x:c r="F76" t="s">
        <x:v>217</x:v>
      </x:c>
      <x:c r="G76" t="s">
        <x:v>228</x:v>
      </x:c>
      <x:c r="H76" t="s">
        <x:v>217</x:v>
      </x:c>
    </x:row>
    <x:row r="78" ht="15.75">
      <x:c r="A78" s="4" t="s">
        <x:v>40</x:v>
      </x:c>
      <x:c r="B78" s="3"/>
      <x:c r="C78" s="3"/>
      <x:c r="D78" s="3"/>
      <x:c r="E78" s="3"/>
      <x:c r="F78" s="3"/>
      <x:c r="G78" s="3"/>
      <x:c r="H78" s="3"/>
    </x:row>
    <x:row r="79">
      <x:c r="A79" s="1" t="s">
        <x:v>61</x:v>
      </x:c>
      <x:c r="B79" s="1" t="s">
        <x:v>21</x:v>
      </x:c>
      <x:c r="C79" s="1" t="s">
        <x:v>22</x:v>
      </x:c>
      <x:c r="D79" s="1" t="s">
        <x:v>23</x:v>
      </x:c>
      <x:c r="E79" s="1" t="s">
        <x:v>24</x:v>
      </x:c>
      <x:c r="F79" s="1" t="s">
        <x:v>14</x:v>
      </x:c>
      <x:c r="G79" s="1" t="s">
        <x:v>25</x:v>
      </x:c>
      <x:c r="H79" s="1" t="s">
        <x:v>26</x:v>
      </x:c>
    </x:row>
    <x:row r="80">
      <x:c r="A80">
        <x:v>1</x:v>
      </x:c>
      <x:c r="B80" t="s">
        <x:v>189</x:v>
      </x:c>
      <x:c r="C80" t="s">
        <x:v>189</x:v>
      </x:c>
      <x:c r="D80" t="s">
        <x:v>179</x:v>
      </x:c>
      <x:c r="E80" t="s">
        <x:v>189</x:v>
      </x:c>
      <x:c r="F80" t="s">
        <x:v>179</x:v>
      </x:c>
      <x:c r="G80" t="s">
        <x:v>179</x:v>
      </x:c>
      <x:c r="H80" t="s">
        <x:v>189</x:v>
      </x:c>
    </x:row>
    <x:row r="81">
      <x:c r="A81">
        <x:v>2</x:v>
      </x:c>
      <x:c r="B81" t="s">
        <x:v>229</x:v>
      </x:c>
      <x:c r="C81" t="s">
        <x:v>229</x:v>
      </x:c>
      <x:c r="D81" t="s">
        <x:v>229</x:v>
      </x:c>
      <x:c r="E81" t="s">
        <x:v>229</x:v>
      </x:c>
      <x:c r="F81" t="s">
        <x:v>229</x:v>
      </x:c>
      <x:c r="G81" t="s">
        <x:v>229</x:v>
      </x:c>
      <x:c r="H81" t="s">
        <x:v>229</x:v>
      </x:c>
    </x:row>
    <x:row r="82">
      <x:c r="A82">
        <x:v>3</x:v>
      </x:c>
      <x:c r="B82" t="s">
        <x:v>230</x:v>
      </x:c>
      <x:c r="C82" t="s">
        <x:v>231</x:v>
      </x:c>
      <x:c r="D82" t="s">
        <x:v>232</x:v>
      </x:c>
      <x:c r="E82" t="s">
        <x:v>233</x:v>
      </x:c>
      <x:c r="F82" t="s">
        <x:v>234</x:v>
      </x:c>
      <x:c r="G82" t="s">
        <x:v>235</x:v>
      </x:c>
      <x:c r="H82" t="s">
        <x:v>236</x:v>
      </x:c>
    </x:row>
    <x:row r="83">
      <x:c r="A83">
        <x:v>4</x:v>
      </x:c>
      <x:c r="B83" t="s">
        <x:v>237</x:v>
      </x:c>
      <x:c r="C83" t="s">
        <x:v>237</x:v>
      </x:c>
      <x:c r="D83" t="s">
        <x:v>237</x:v>
      </x:c>
      <x:c r="E83" t="s">
        <x:v>237</x:v>
      </x:c>
      <x:c r="F83" t="s">
        <x:v>237</x:v>
      </x:c>
      <x:c r="G83" t="s">
        <x:v>237</x:v>
      </x:c>
      <x:c r="H83" t="s">
        <x:v>238</x:v>
      </x:c>
    </x:row>
    <x:row r="84">
      <x:c r="A84">
        <x:v>5</x:v>
      </x:c>
      <x:c r="B84" t="s">
        <x:v>239</x:v>
      </x:c>
      <x:c r="C84" t="s">
        <x:v>240</x:v>
      </x:c>
      <x:c r="D84" t="s">
        <x:v>240</x:v>
      </x:c>
      <x:c r="E84" t="s">
        <x:v>240</x:v>
      </x:c>
      <x:c r="F84" t="s">
        <x:v>240</x:v>
      </x:c>
      <x:c r="G84" t="s">
        <x:v>240</x:v>
      </x:c>
      <x:c r="H84" t="s">
        <x:v>240</x:v>
      </x:c>
    </x:row>
    <x:row r="85">
      <x:c r="A85">
        <x:v>6</x:v>
      </x:c>
      <x:c r="B85" t="s">
        <x:v>241</x:v>
      </x:c>
      <x:c r="C85" t="s">
        <x:v>241</x:v>
      </x:c>
      <x:c r="D85" t="s">
        <x:v>241</x:v>
      </x:c>
      <x:c r="E85" t="s">
        <x:v>242</x:v>
      </x:c>
      <x:c r="F85" t="s">
        <x:v>241</x:v>
      </x:c>
      <x:c r="G85" t="s">
        <x:v>241</x:v>
      </x:c>
      <x:c r="H85" t="s">
        <x:v>241</x:v>
      </x:c>
    </x:row>
    <x:row r="87" ht="15.75">
      <x:c r="A87" s="4" t="s">
        <x:v>51</x:v>
      </x:c>
      <x:c r="B87" s="3"/>
      <x:c r="C87" s="3"/>
      <x:c r="D87" s="3"/>
      <x:c r="E87" s="3"/>
      <x:c r="F87" s="3"/>
      <x:c r="G87" s="3"/>
      <x:c r="H87" s="3"/>
    </x:row>
    <x:row r="88">
      <x:c r="A88" s="1" t="s">
        <x:v>61</x:v>
      </x:c>
      <x:c r="B88" s="1" t="s">
        <x:v>21</x:v>
      </x:c>
      <x:c r="C88" s="1" t="s">
        <x:v>22</x:v>
      </x:c>
      <x:c r="D88" s="1" t="s">
        <x:v>23</x:v>
      </x:c>
      <x:c r="E88" s="1" t="s">
        <x:v>24</x:v>
      </x:c>
      <x:c r="F88" s="1" t="s">
        <x:v>14</x:v>
      </x:c>
      <x:c r="G88" s="1" t="s">
        <x:v>25</x:v>
      </x:c>
      <x:c r="H88" s="1" t="s">
        <x:v>26</x:v>
      </x:c>
    </x:row>
    <x:row r="89">
      <x:c r="A89">
        <x:v>1</x:v>
      </x:c>
      <x:c r="B89" t="s">
        <x:v>191</x:v>
      </x:c>
      <x:c r="C89" t="s">
        <x:v>191</x:v>
      </x:c>
      <x:c r="D89" t="s">
        <x:v>191</x:v>
      </x:c>
      <x:c r="E89" t="s">
        <x:v>191</x:v>
      </x:c>
      <x:c r="F89" t="s">
        <x:v>191</x:v>
      </x:c>
      <x:c r="G89" t="s">
        <x:v>191</x:v>
      </x:c>
      <x:c r="H89" t="s">
        <x:v>191</x:v>
      </x:c>
    </x:row>
    <x:row r="90">
      <x:c r="A90">
        <x:v>2</x:v>
      </x:c>
      <x:c r="B90" t="s">
        <x:v>243</x:v>
      </x:c>
      <x:c r="C90" t="s">
        <x:v>243</x:v>
      </x:c>
      <x:c r="D90" t="s">
        <x:v>243</x:v>
      </x:c>
      <x:c r="E90" t="s">
        <x:v>243</x:v>
      </x:c>
      <x:c r="F90" t="s">
        <x:v>243</x:v>
      </x:c>
      <x:c r="G90" t="s">
        <x:v>244</x:v>
      </x:c>
      <x:c r="H90" t="s">
        <x:v>243</x:v>
      </x:c>
    </x:row>
    <x:row r="91">
      <x:c r="A91">
        <x:v>3</x:v>
      </x:c>
      <x:c r="B91" t="s">
        <x:v>245</x:v>
      </x:c>
      <x:c r="C91" t="s">
        <x:v>227</x:v>
      </x:c>
      <x:c r="D91" t="s">
        <x:v>245</x:v>
      </x:c>
      <x:c r="E91" t="s">
        <x:v>245</x:v>
      </x:c>
      <x:c r="F91" t="s">
        <x:v>245</x:v>
      </x:c>
      <x:c r="G91" t="s">
        <x:v>245</x:v>
      </x:c>
      <x:c r="H91" t="s">
        <x:v>245</x:v>
      </x:c>
    </x:row>
    <x:row r="92">
      <x:c r="A92">
        <x:v>4</x:v>
      </x:c>
      <x:c r="B92" t="s">
        <x:v>246</x:v>
      </x:c>
      <x:c r="C92" t="s">
        <x:v>247</x:v>
      </x:c>
      <x:c r="D92" t="s">
        <x:v>247</x:v>
      </x:c>
      <x:c r="E92" t="s">
        <x:v>247</x:v>
      </x:c>
      <x:c r="F92" t="s">
        <x:v>247</x:v>
      </x:c>
      <x:c r="G92" t="s">
        <x:v>247</x:v>
      </x:c>
      <x:c r="H92" t="s">
        <x:v>247</x:v>
      </x:c>
    </x:row>
    <x:row r="93">
      <x:c r="A93">
        <x:v>5</x:v>
      </x:c>
      <x:c r="B93" t="s">
        <x:v>248</x:v>
      </x:c>
      <x:c r="C93" t="s">
        <x:v>216</x:v>
      </x:c>
      <x:c r="D93" t="s">
        <x:v>216</x:v>
      </x:c>
      <x:c r="E93" t="s">
        <x:v>216</x:v>
      </x:c>
      <x:c r="F93" t="s">
        <x:v>216</x:v>
      </x:c>
      <x:c r="G93" t="s">
        <x:v>216</x:v>
      </x:c>
      <x:c r="H93" t="s">
        <x:v>216</x:v>
      </x:c>
    </x:row>
    <x:row r="94">
      <x:c r="A94">
        <x:v>6</x:v>
      </x:c>
      <x:c r="B94" t="s">
        <x:v>249</x:v>
      </x:c>
      <x:c r="C94" t="s">
        <x:v>249</x:v>
      </x:c>
      <x:c r="D94" t="s">
        <x:v>249</x:v>
      </x:c>
      <x:c r="E94" t="s">
        <x:v>249</x:v>
      </x:c>
      <x:c r="F94" t="s">
        <x:v>249</x:v>
      </x:c>
      <x:c r="G94" t="s">
        <x:v>249</x:v>
      </x:c>
      <x:c r="H94" t="s">
        <x:v>249</x:v>
      </x:c>
    </x:row>
  </x:sheetData>
  <x:pageMargins left="0.7" right="0.7" top="0.75" bottom="0.75" header="0.3" footer="0.3"/>
  <x:tableParts count="8">
    <x:tablePart xmlns:r="http://schemas.openxmlformats.org/officeDocument/2006/relationships" r:id="R44b4f92a6c1e445e"/>
    <x:tablePart xmlns:r="http://schemas.openxmlformats.org/officeDocument/2006/relationships" r:id="Ra1677ec5dd8743fd"/>
    <x:tablePart xmlns:r="http://schemas.openxmlformats.org/officeDocument/2006/relationships" r:id="R12e77385c5974648"/>
    <x:tablePart xmlns:r="http://schemas.openxmlformats.org/officeDocument/2006/relationships" r:id="R90d35708af8a463a"/>
    <x:tablePart xmlns:r="http://schemas.openxmlformats.org/officeDocument/2006/relationships" r:id="R637bdd7affd9408b"/>
    <x:tablePart xmlns:r="http://schemas.openxmlformats.org/officeDocument/2006/relationships" r:id="R96e500629a1b4b9e"/>
    <x:tablePart xmlns:r="http://schemas.openxmlformats.org/officeDocument/2006/relationships" r:id="R98f323a19f054d98"/>
    <x:tablePart xmlns:r="http://schemas.openxmlformats.org/officeDocument/2006/relationships" r:id="R2296762eb4c04586"/>
  </x:tableParts>
</x:worksheet>
</file>

<file path=xl/worksheets/sheet5.xml><?xml version="1.0" encoding="utf-8"?>
<x:worksheet xmlns:x="http://schemas.openxmlformats.org/spreadsheetml/2006/main">
  <x:sheetFormatPr defaultRowHeight="15"/>
  <x:cols>
    <x:col min="1" max="1" width="6.28515625" style="1" customWidth="1"/>
    <x:col min="2" max="8" width="22" customWidth="1"/>
  </x:cols>
  <x:sheetData>
    <x:row r="1" ht="15.75">
      <x:c r="A1" s="4" t="s">
        <x:v>86</x:v>
      </x:c>
      <x:c r="B1" s="3"/>
      <x:c r="C1" s="3"/>
      <x:c r="D1" s="3"/>
      <x:c r="E1" s="3"/>
      <x:c r="F1" s="3"/>
      <x:c r="G1" s="3"/>
      <x:c r="H1" s="3"/>
    </x:row>
    <x:row r="2">
      <x:c r="A2" s="1" t="s">
        <x:v>20</x:v>
      </x:c>
      <x:c r="B2" t="s">
        <x:v>21</x:v>
      </x:c>
      <x:c r="C2" t="s">
        <x:v>22</x:v>
      </x:c>
      <x:c r="D2" t="s">
        <x:v>23</x:v>
      </x:c>
      <x:c r="E2" t="s">
        <x:v>24</x:v>
      </x:c>
      <x:c r="F2" t="s">
        <x:v>14</x:v>
      </x:c>
      <x:c r="G2" t="s">
        <x:v>25</x:v>
      </x:c>
      <x:c r="H2" t="s">
        <x:v>26</x:v>
      </x:c>
    </x:row>
    <x:row r="3">
      <x:c r="A3" s="1">
        <x:v>2</x:v>
      </x:c>
      <x:c r="B3" t="s">
        <x:v>250</x:v>
      </x:c>
      <x:c r="C3" t="s">
        <x:v>251</x:v>
      </x:c>
      <x:c r="D3" t="s">
        <x:v>250</x:v>
      </x:c>
      <x:c r="E3" t="s">
        <x:v>250</x:v>
      </x:c>
      <x:c r="F3" t="s">
        <x:v>251</x:v>
      </x:c>
      <x:c r="G3" t="s">
        <x:v>250</x:v>
      </x:c>
      <x:c r="H3" t="s">
        <x:v>250</x:v>
      </x:c>
    </x:row>
    <x:row r="4">
      <x:c r="A4" s="1">
        <x:v>3</x:v>
      </x:c>
      <x:c r="B4" t="s">
        <x:v>252</x:v>
      </x:c>
      <x:c r="C4" t="s">
        <x:v>253</x:v>
      </x:c>
      <x:c r="D4" t="s">
        <x:v>252</x:v>
      </x:c>
      <x:c r="E4" t="s">
        <x:v>252</x:v>
      </x:c>
      <x:c r="F4" t="s">
        <x:v>253</x:v>
      </x:c>
      <x:c r="G4" t="s">
        <x:v>252</x:v>
      </x:c>
      <x:c r="H4" t="s">
        <x:v>252</x:v>
      </x:c>
    </x:row>
    <x:row r="5">
      <x:c r="A5" s="1">
        <x:v>4</x:v>
      </x:c>
      <x:c r="B5" t="s">
        <x:v>254</x:v>
      </x:c>
      <x:c r="C5" t="s">
        <x:v>254</x:v>
      </x:c>
      <x:c r="D5" t="s">
        <x:v>254</x:v>
      </x:c>
      <x:c r="E5" t="s">
        <x:v>254</x:v>
      </x:c>
      <x:c r="F5" t="s">
        <x:v>254</x:v>
      </x:c>
      <x:c r="G5" t="s">
        <x:v>254</x:v>
      </x:c>
      <x:c r="H5" t="s">
        <x:v>254</x:v>
      </x:c>
    </x:row>
    <x:row r="6">
      <x:c r="A6" s="1">
        <x:v>5</x:v>
      </x:c>
      <x:c r="B6" t="s">
        <x:v>255</x:v>
      </x:c>
      <x:c r="C6" t="s">
        <x:v>255</x:v>
      </x:c>
      <x:c r="D6" t="s">
        <x:v>256</x:v>
      </x:c>
      <x:c r="E6" t="s">
        <x:v>255</x:v>
      </x:c>
      <x:c r="F6" t="s">
        <x:v>255</x:v>
      </x:c>
      <x:c r="G6" t="s">
        <x:v>255</x:v>
      </x:c>
      <x:c r="H6" t="s">
        <x:v>255</x:v>
      </x:c>
    </x:row>
    <x:row r="7">
      <x:c r="A7" s="1">
        <x:v>6</x:v>
      </x:c>
      <x:c r="B7" t="s">
        <x:v>257</x:v>
      </x:c>
      <x:c r="C7" t="s">
        <x:v>257</x:v>
      </x:c>
      <x:c r="D7" t="s">
        <x:v>257</x:v>
      </x:c>
      <x:c r="E7" t="s">
        <x:v>257</x:v>
      </x:c>
      <x:c r="F7" t="s">
        <x:v>257</x:v>
      </x:c>
      <x:c r="G7" t="s">
        <x:v>257</x:v>
      </x:c>
      <x:c r="H7" t="s">
        <x:v>257</x:v>
      </x:c>
    </x:row>
    <x:row r="8">
      <x:c r="A8" s="1">
        <x:v>7</x:v>
      </x:c>
      <x:c r="B8" t="s">
        <x:v>258</x:v>
      </x:c>
      <x:c r="C8" t="s">
        <x:v>258</x:v>
      </x:c>
      <x:c r="D8" t="s">
        <x:v>258</x:v>
      </x:c>
      <x:c r="E8" t="s">
        <x:v>258</x:v>
      </x:c>
      <x:c r="F8" t="s">
        <x:v>258</x:v>
      </x:c>
      <x:c r="G8" t="s">
        <x:v>258</x:v>
      </x:c>
      <x:c r="H8" t="s">
        <x:v>258</x:v>
      </x:c>
    </x:row>
    <x:row r="9">
      <x:c r="A9" s="1">
        <x:v>8</x:v>
      </x:c>
      <x:c r="B9" t="s">
        <x:v>259</x:v>
      </x:c>
      <x:c r="C9" t="s">
        <x:v>259</x:v>
      </x:c>
      <x:c r="D9" t="s">
        <x:v>259</x:v>
      </x:c>
      <x:c r="E9" t="s">
        <x:v>259</x:v>
      </x:c>
      <x:c r="F9" t="s">
        <x:v>259</x:v>
      </x:c>
      <x:c r="G9" t="s">
        <x:v>259</x:v>
      </x:c>
      <x:c r="H9" t="s">
        <x:v>259</x:v>
      </x:c>
    </x:row>
    <x:row r="10">
      <x:c r="A10" s="1">
        <x:v>9</x:v>
      </x:c>
      <x:c r="B10" t="s">
        <x:v>260</x:v>
      </x:c>
      <x:c r="C10" t="s">
        <x:v>260</x:v>
      </x:c>
      <x:c r="D10" t="s">
        <x:v>260</x:v>
      </x:c>
      <x:c r="E10" t="s">
        <x:v>260</x:v>
      </x:c>
      <x:c r="F10" t="s">
        <x:v>260</x:v>
      </x:c>
      <x:c r="G10" t="s">
        <x:v>260</x:v>
      </x:c>
      <x:c r="H10" t="s">
        <x:v>260</x:v>
      </x:c>
    </x:row>
    <x:row r="11">
      <x:c r="A11" s="1">
        <x:v>10</x:v>
      </x:c>
      <x:c r="B11" t="s">
        <x:v>261</x:v>
      </x:c>
      <x:c r="C11" t="s">
        <x:v>261</x:v>
      </x:c>
      <x:c r="D11" t="s">
        <x:v>261</x:v>
      </x:c>
      <x:c r="E11" t="s">
        <x:v>261</x:v>
      </x:c>
      <x:c r="F11" t="s">
        <x:v>261</x:v>
      </x:c>
      <x:c r="G11" t="s">
        <x:v>261</x:v>
      </x:c>
      <x:c r="H11" t="s">
        <x:v>261</x:v>
      </x:c>
    </x:row>
    <x:row r="12">
      <x:c r="A12" s="1">
        <x:v>11</x:v>
      </x:c>
      <x:c r="B12" t="s">
        <x:v>262</x:v>
      </x:c>
      <x:c r="C12" t="s">
        <x:v>262</x:v>
      </x:c>
      <x:c r="D12" t="s">
        <x:v>263</x:v>
      </x:c>
      <x:c r="E12" t="s">
        <x:v>262</x:v>
      </x:c>
      <x:c r="F12" t="s">
        <x:v>262</x:v>
      </x:c>
      <x:c r="G12" t="s">
        <x:v>262</x:v>
      </x:c>
      <x:c r="H12" t="s">
        <x:v>262</x:v>
      </x:c>
    </x:row>
    <x:row r="13">
      <x:c r="A13" s="1">
        <x:v>12</x:v>
      </x:c>
      <x:c r="B13" t="s">
        <x:v>259</x:v>
      </x:c>
      <x:c r="C13" t="s">
        <x:v>259</x:v>
      </x:c>
      <x:c r="D13" t="s">
        <x:v>259</x:v>
      </x:c>
      <x:c r="E13" t="s">
        <x:v>259</x:v>
      </x:c>
      <x:c r="F13" t="s">
        <x:v>259</x:v>
      </x:c>
      <x:c r="G13" t="s">
        <x:v>259</x:v>
      </x:c>
      <x:c r="H13" t="s">
        <x:v>259</x:v>
      </x:c>
    </x:row>
    <x:row r="15" ht="15.75">
      <x:c r="A15" s="4" t="s">
        <x:v>19</x:v>
      </x:c>
      <x:c r="B15" s="3"/>
      <x:c r="C15" s="3"/>
      <x:c r="D15" s="3"/>
      <x:c r="E15" s="3"/>
      <x:c r="F15" s="3"/>
      <x:c r="G15" s="3"/>
      <x:c r="H15" s="3"/>
    </x:row>
    <x:row r="16">
      <x:c r="A16" s="1" t="s">
        <x:v>20</x:v>
      </x:c>
      <x:c r="B16" t="s">
        <x:v>21</x:v>
      </x:c>
      <x:c r="C16" t="s">
        <x:v>22</x:v>
      </x:c>
      <x:c r="D16" t="s">
        <x:v>23</x:v>
      </x:c>
      <x:c r="E16" t="s">
        <x:v>24</x:v>
      </x:c>
      <x:c r="F16" t="s">
        <x:v>14</x:v>
      </x:c>
      <x:c r="G16" t="s">
        <x:v>25</x:v>
      </x:c>
      <x:c r="H16" t="s">
        <x:v>26</x:v>
      </x:c>
    </x:row>
    <x:row r="17">
      <x:c r="A17" s="1">
        <x:v>2</x:v>
      </x:c>
      <x:c r="B17" t="s">
        <x:v>264</x:v>
      </x:c>
      <x:c r="C17" t="s">
        <x:v>265</x:v>
      </x:c>
      <x:c r="D17" t="s">
        <x:v>264</x:v>
      </x:c>
      <x:c r="E17" t="s">
        <x:v>264</x:v>
      </x:c>
      <x:c r="F17" t="s">
        <x:v>265</x:v>
      </x:c>
      <x:c r="G17" t="s">
        <x:v>264</x:v>
      </x:c>
      <x:c r="H17" t="s">
        <x:v>264</x:v>
      </x:c>
    </x:row>
    <x:row r="18">
      <x:c r="A18" s="1">
        <x:v>3</x:v>
      </x:c>
      <x:c r="B18" t="s">
        <x:v>266</x:v>
      </x:c>
      <x:c r="C18" t="s">
        <x:v>266</x:v>
      </x:c>
      <x:c r="D18" t="s">
        <x:v>266</x:v>
      </x:c>
      <x:c r="E18" t="s">
        <x:v>266</x:v>
      </x:c>
      <x:c r="F18" t="s">
        <x:v>266</x:v>
      </x:c>
      <x:c r="G18" t="s">
        <x:v>266</x:v>
      </x:c>
      <x:c r="H18" t="s">
        <x:v>266</x:v>
      </x:c>
    </x:row>
    <x:row r="19">
      <x:c r="A19" s="1">
        <x:v>4</x:v>
      </x:c>
      <x:c r="B19" t="s">
        <x:v>255</x:v>
      </x:c>
      <x:c r="C19" t="s">
        <x:v>255</x:v>
      </x:c>
      <x:c r="D19" t="s">
        <x:v>255</x:v>
      </x:c>
      <x:c r="E19" t="s">
        <x:v>255</x:v>
      </x:c>
      <x:c r="F19" t="s">
        <x:v>255</x:v>
      </x:c>
      <x:c r="G19" t="s">
        <x:v>255</x:v>
      </x:c>
      <x:c r="H19" t="s">
        <x:v>255</x:v>
      </x:c>
    </x:row>
    <x:row r="20">
      <x:c r="A20" s="1">
        <x:v>5</x:v>
      </x:c>
      <x:c r="B20" t="s">
        <x:v>267</x:v>
      </x:c>
      <x:c r="C20" t="s">
        <x:v>267</x:v>
      </x:c>
      <x:c r="D20" t="s">
        <x:v>267</x:v>
      </x:c>
      <x:c r="E20" t="s">
        <x:v>267</x:v>
      </x:c>
      <x:c r="F20" t="s">
        <x:v>267</x:v>
      </x:c>
      <x:c r="G20" t="s">
        <x:v>267</x:v>
      </x:c>
      <x:c r="H20" t="s">
        <x:v>267</x:v>
      </x:c>
    </x:row>
    <x:row r="21">
      <x:c r="A21" s="1">
        <x:v>6</x:v>
      </x:c>
      <x:c r="B21" t="s">
        <x:v>268</x:v>
      </x:c>
      <x:c r="C21" t="s">
        <x:v>253</x:v>
      </x:c>
      <x:c r="D21" t="s">
        <x:v>268</x:v>
      </x:c>
      <x:c r="E21" t="s">
        <x:v>268</x:v>
      </x:c>
      <x:c r="F21" t="s">
        <x:v>253</x:v>
      </x:c>
      <x:c r="G21" t="s">
        <x:v>268</x:v>
      </x:c>
      <x:c r="H21" t="s">
        <x:v>268</x:v>
      </x:c>
    </x:row>
    <x:row r="22">
      <x:c r="A22" s="1">
        <x:v>7</x:v>
      </x:c>
      <x:c r="B22" t="s">
        <x:v>264</x:v>
      </x:c>
      <x:c r="C22" t="s">
        <x:v>264</x:v>
      </x:c>
      <x:c r="D22" t="s">
        <x:v>264</x:v>
      </x:c>
      <x:c r="E22" t="s">
        <x:v>264</x:v>
      </x:c>
      <x:c r="F22" t="s">
        <x:v>264</x:v>
      </x:c>
      <x:c r="G22" t="s">
        <x:v>264</x:v>
      </x:c>
      <x:c r="H22" t="s">
        <x:v>264</x:v>
      </x:c>
    </x:row>
    <x:row r="23">
      <x:c r="A23" s="1">
        <x:v>8</x:v>
      </x:c>
      <x:c r="B23" t="s">
        <x:v>269</x:v>
      </x:c>
      <x:c r="C23" t="s">
        <x:v>269</x:v>
      </x:c>
      <x:c r="D23" t="s">
        <x:v>269</x:v>
      </x:c>
      <x:c r="E23" t="s">
        <x:v>269</x:v>
      </x:c>
      <x:c r="F23" t="s">
        <x:v>269</x:v>
      </x:c>
      <x:c r="G23" t="s">
        <x:v>269</x:v>
      </x:c>
      <x:c r="H23" t="s">
        <x:v>269</x:v>
      </x:c>
    </x:row>
    <x:row r="24">
      <x:c r="A24" s="1">
        <x:v>9</x:v>
      </x:c>
      <x:c r="B24" t="s">
        <x:v>270</x:v>
      </x:c>
      <x:c r="C24" t="s">
        <x:v>270</x:v>
      </x:c>
      <x:c r="D24" t="s">
        <x:v>270</x:v>
      </x:c>
      <x:c r="E24" t="s">
        <x:v>270</x:v>
      </x:c>
      <x:c r="F24" t="s">
        <x:v>270</x:v>
      </x:c>
      <x:c r="G24" t="s">
        <x:v>270</x:v>
      </x:c>
      <x:c r="H24" t="s">
        <x:v>270</x:v>
      </x:c>
    </x:row>
    <x:row r="25">
      <x:c r="A25" s="1">
        <x:v>10</x:v>
      </x:c>
      <x:c r="B25" t="s">
        <x:v>266</x:v>
      </x:c>
      <x:c r="C25" t="s">
        <x:v>251</x:v>
      </x:c>
      <x:c r="D25" t="s">
        <x:v>266</x:v>
      </x:c>
      <x:c r="E25" t="s">
        <x:v>266</x:v>
      </x:c>
      <x:c r="F25" t="s">
        <x:v>251</x:v>
      </x:c>
      <x:c r="G25" t="s">
        <x:v>266</x:v>
      </x:c>
      <x:c r="H25" t="s">
        <x:v>266</x:v>
      </x:c>
    </x:row>
    <x:row r="26">
      <x:c r="A26" s="1">
        <x:v>11</x:v>
      </x:c>
      <x:c r="B26" t="s">
        <x:v>268</x:v>
      </x:c>
      <x:c r="C26" t="s">
        <x:v>268</x:v>
      </x:c>
      <x:c r="D26" t="s">
        <x:v>268</x:v>
      </x:c>
      <x:c r="E26" t="s">
        <x:v>268</x:v>
      </x:c>
      <x:c r="F26" t="s">
        <x:v>268</x:v>
      </x:c>
      <x:c r="G26" t="s">
        <x:v>268</x:v>
      </x:c>
      <x:c r="H26" t="s">
        <x:v>268</x:v>
      </x:c>
    </x:row>
    <x:row r="27">
      <x:c r="A27" s="1">
        <x:v>12</x:v>
      </x:c>
      <x:c r="B27" t="s">
        <x:v>267</x:v>
      </x:c>
      <x:c r="C27" t="s">
        <x:v>267</x:v>
      </x:c>
      <x:c r="D27" t="s">
        <x:v>267</x:v>
      </x:c>
      <x:c r="E27" t="s">
        <x:v>267</x:v>
      </x:c>
      <x:c r="F27" t="s">
        <x:v>267</x:v>
      </x:c>
      <x:c r="G27" t="s">
        <x:v>267</x:v>
      </x:c>
      <x:c r="H27" t="s">
        <x:v>267</x:v>
      </x:c>
    </x:row>
    <x:row r="29" ht="15.75">
      <x:c r="A29" s="4" t="s">
        <x:v>40</x:v>
      </x:c>
      <x:c r="B29" s="3"/>
      <x:c r="C29" s="3"/>
      <x:c r="D29" s="3"/>
      <x:c r="E29" s="3"/>
      <x:c r="F29" s="3"/>
      <x:c r="G29" s="3"/>
      <x:c r="H29" s="3"/>
    </x:row>
    <x:row r="30">
      <x:c r="A30" s="1" t="s">
        <x:v>20</x:v>
      </x:c>
      <x:c r="B30" t="s">
        <x:v>21</x:v>
      </x:c>
      <x:c r="C30" t="s">
        <x:v>22</x:v>
      </x:c>
      <x:c r="D30" t="s">
        <x:v>23</x:v>
      </x:c>
      <x:c r="E30" t="s">
        <x:v>24</x:v>
      </x:c>
      <x:c r="F30" t="s">
        <x:v>14</x:v>
      </x:c>
      <x:c r="G30" t="s">
        <x:v>25</x:v>
      </x:c>
      <x:c r="H30" t="s">
        <x:v>26</x:v>
      </x:c>
    </x:row>
    <x:row r="31">
      <x:c r="A31" s="1">
        <x:v>2</x:v>
      </x:c>
      <x:c r="B31" t="s">
        <x:v>271</x:v>
      </x:c>
      <x:c r="C31" t="s">
        <x:v>271</x:v>
      </x:c>
      <x:c r="D31" t="s">
        <x:v>271</x:v>
      </x:c>
      <x:c r="E31" t="s">
        <x:v>271</x:v>
      </x:c>
      <x:c r="F31" t="s">
        <x:v>271</x:v>
      </x:c>
      <x:c r="G31" t="s">
        <x:v>271</x:v>
      </x:c>
      <x:c r="H31" t="s">
        <x:v>271</x:v>
      </x:c>
    </x:row>
    <x:row r="32">
      <x:c r="A32" s="1">
        <x:v>3</x:v>
      </x:c>
      <x:c r="B32" t="s">
        <x:v>257</x:v>
      </x:c>
      <x:c r="C32" t="s">
        <x:v>257</x:v>
      </x:c>
      <x:c r="D32" t="s">
        <x:v>257</x:v>
      </x:c>
      <x:c r="E32" t="s">
        <x:v>257</x:v>
      </x:c>
      <x:c r="F32" t="s">
        <x:v>257</x:v>
      </x:c>
      <x:c r="G32" t="s">
        <x:v>257</x:v>
      </x:c>
      <x:c r="H32" t="s">
        <x:v>272</x:v>
      </x:c>
    </x:row>
    <x:row r="33">
      <x:c r="A33" s="1">
        <x:v>4</x:v>
      </x:c>
      <x:c r="B33" t="s">
        <x:v>273</x:v>
      </x:c>
      <x:c r="C33" t="s">
        <x:v>253</x:v>
      </x:c>
      <x:c r="D33" t="s">
        <x:v>273</x:v>
      </x:c>
      <x:c r="E33" t="s">
        <x:v>273</x:v>
      </x:c>
      <x:c r="F33" t="s">
        <x:v>253</x:v>
      </x:c>
      <x:c r="G33" t="s">
        <x:v>273</x:v>
      </x:c>
      <x:c r="H33" t="s">
        <x:v>273</x:v>
      </x:c>
    </x:row>
    <x:row r="34">
      <x:c r="A34" s="1">
        <x:v>5</x:v>
      </x:c>
      <x:c r="B34" t="s">
        <x:v>254</x:v>
      </x:c>
      <x:c r="C34" t="s">
        <x:v>254</x:v>
      </x:c>
      <x:c r="D34" t="s">
        <x:v>254</x:v>
      </x:c>
      <x:c r="E34" t="s">
        <x:v>254</x:v>
      </x:c>
      <x:c r="F34" t="s">
        <x:v>254</x:v>
      </x:c>
      <x:c r="G34" t="s">
        <x:v>254</x:v>
      </x:c>
      <x:c r="H34" t="s">
        <x:v>254</x:v>
      </x:c>
    </x:row>
    <x:row r="35">
      <x:c r="A35" s="1">
        <x:v>6</x:v>
      </x:c>
      <x:c r="B35" t="s">
        <x:v>261</x:v>
      </x:c>
      <x:c r="C35" t="s">
        <x:v>261</x:v>
      </x:c>
      <x:c r="D35" t="s">
        <x:v>261</x:v>
      </x:c>
      <x:c r="E35" t="s">
        <x:v>261</x:v>
      </x:c>
      <x:c r="F35" t="s">
        <x:v>261</x:v>
      </x:c>
      <x:c r="G35" t="s">
        <x:v>261</x:v>
      </x:c>
      <x:c r="H35" t="s">
        <x:v>261</x:v>
      </x:c>
    </x:row>
    <x:row r="36">
      <x:c r="A36" s="1">
        <x:v>7</x:v>
      </x:c>
      <x:c r="B36" t="s">
        <x:v>250</x:v>
      </x:c>
      <x:c r="C36" t="s">
        <x:v>250</x:v>
      </x:c>
      <x:c r="D36" t="s">
        <x:v>250</x:v>
      </x:c>
      <x:c r="E36" t="s">
        <x:v>250</x:v>
      </x:c>
      <x:c r="F36" t="s">
        <x:v>250</x:v>
      </x:c>
      <x:c r="G36" t="s">
        <x:v>250</x:v>
      </x:c>
      <x:c r="H36" t="s">
        <x:v>250</x:v>
      </x:c>
    </x:row>
    <x:row r="37">
      <x:c r="A37" s="1">
        <x:v>8</x:v>
      </x:c>
      <x:c r="B37" t="s">
        <x:v>266</x:v>
      </x:c>
      <x:c r="C37" t="s">
        <x:v>274</x:v>
      </x:c>
      <x:c r="D37" t="s">
        <x:v>266</x:v>
      </x:c>
      <x:c r="E37" t="s">
        <x:v>266</x:v>
      </x:c>
      <x:c r="F37" t="s">
        <x:v>274</x:v>
      </x:c>
      <x:c r="G37" t="s">
        <x:v>266</x:v>
      </x:c>
      <x:c r="H37" t="s">
        <x:v>266</x:v>
      </x:c>
    </x:row>
    <x:row r="38">
      <x:c r="A38" s="1">
        <x:v>9</x:v>
      </x:c>
      <x:c r="B38" t="s">
        <x:v>275</x:v>
      </x:c>
      <x:c r="C38" t="s">
        <x:v>275</x:v>
      </x:c>
      <x:c r="D38" t="s">
        <x:v>275</x:v>
      </x:c>
      <x:c r="E38" t="s">
        <x:v>275</x:v>
      </x:c>
      <x:c r="F38" t="s">
        <x:v>275</x:v>
      </x:c>
      <x:c r="G38" t="s">
        <x:v>275</x:v>
      </x:c>
      <x:c r="H38" t="s">
        <x:v>275</x:v>
      </x:c>
    </x:row>
    <x:row r="39">
      <x:c r="A39" s="1">
        <x:v>10</x:v>
      </x:c>
      <x:c r="B39" t="s">
        <x:v>271</x:v>
      </x:c>
      <x:c r="C39" t="s">
        <x:v>271</x:v>
      </x:c>
      <x:c r="D39" t="s">
        <x:v>276</x:v>
      </x:c>
      <x:c r="E39" t="s">
        <x:v>271</x:v>
      </x:c>
      <x:c r="F39" t="s">
        <x:v>271</x:v>
      </x:c>
      <x:c r="G39" t="s">
        <x:v>271</x:v>
      </x:c>
      <x:c r="H39" t="s">
        <x:v>271</x:v>
      </x:c>
    </x:row>
    <x:row r="40">
      <x:c r="A40" s="1">
        <x:v>11</x:v>
      </x:c>
      <x:c r="B40" t="s">
        <x:v>250</x:v>
      </x:c>
      <x:c r="C40" t="s">
        <x:v>250</x:v>
      </x:c>
      <x:c r="D40" t="s">
        <x:v>277</x:v>
      </x:c>
      <x:c r="E40" t="s">
        <x:v>250</x:v>
      </x:c>
      <x:c r="F40" t="s">
        <x:v>250</x:v>
      </x:c>
      <x:c r="G40" t="s">
        <x:v>250</x:v>
      </x:c>
      <x:c r="H40" t="s">
        <x:v>250</x:v>
      </x:c>
    </x:row>
    <x:row r="41">
      <x:c r="A41" s="1">
        <x:v>12</x:v>
      </x:c>
      <x:c r="B41" t="s">
        <x:v>278</x:v>
      </x:c>
      <x:c r="C41" t="s">
        <x:v>278</x:v>
      </x:c>
      <x:c r="D41" t="s">
        <x:v>278</x:v>
      </x:c>
      <x:c r="E41" t="s">
        <x:v>278</x:v>
      </x:c>
      <x:c r="F41" t="s">
        <x:v>278</x:v>
      </x:c>
      <x:c r="G41" t="s">
        <x:v>278</x:v>
      </x:c>
      <x:c r="H41" t="s">
        <x:v>278</x:v>
      </x:c>
    </x:row>
    <x:row r="43" ht="15.75">
      <x:c r="A43" s="4" t="s">
        <x:v>51</x:v>
      </x:c>
      <x:c r="B43" s="3"/>
      <x:c r="C43" s="3"/>
      <x:c r="D43" s="3"/>
      <x:c r="E43" s="3"/>
      <x:c r="F43" s="3"/>
      <x:c r="G43" s="3"/>
      <x:c r="H43" s="3"/>
    </x:row>
    <x:row r="44">
      <x:c r="A44" s="1" t="s">
        <x:v>20</x:v>
      </x:c>
      <x:c r="B44" t="s">
        <x:v>21</x:v>
      </x:c>
      <x:c r="C44" t="s">
        <x:v>22</x:v>
      </x:c>
      <x:c r="D44" t="s">
        <x:v>23</x:v>
      </x:c>
      <x:c r="E44" t="s">
        <x:v>24</x:v>
      </x:c>
      <x:c r="F44" t="s">
        <x:v>14</x:v>
      </x:c>
      <x:c r="G44" t="s">
        <x:v>25</x:v>
      </x:c>
      <x:c r="H44" t="s">
        <x:v>26</x:v>
      </x:c>
    </x:row>
    <x:row r="45">
      <x:c r="A45" s="1">
        <x:v>2</x:v>
      </x:c>
      <x:c r="B45" t="s">
        <x:v>279</x:v>
      </x:c>
      <x:c r="C45" t="s">
        <x:v>279</x:v>
      </x:c>
      <x:c r="D45" t="s">
        <x:v>279</x:v>
      </x:c>
      <x:c r="E45" t="s">
        <x:v>279</x:v>
      </x:c>
      <x:c r="F45" t="s">
        <x:v>279</x:v>
      </x:c>
      <x:c r="G45" t="s">
        <x:v>279</x:v>
      </x:c>
      <x:c r="H45" t="s">
        <x:v>279</x:v>
      </x:c>
    </x:row>
    <x:row r="46">
      <x:c r="A46" s="1">
        <x:v>3</x:v>
      </x:c>
      <x:c r="B46" t="s">
        <x:v>270</x:v>
      </x:c>
      <x:c r="C46" t="s">
        <x:v>270</x:v>
      </x:c>
      <x:c r="D46" t="s">
        <x:v>270</x:v>
      </x:c>
      <x:c r="E46" t="s">
        <x:v>270</x:v>
      </x:c>
      <x:c r="F46" t="s">
        <x:v>270</x:v>
      </x:c>
      <x:c r="G46" t="s">
        <x:v>270</x:v>
      </x:c>
      <x:c r="H46" t="s">
        <x:v>270</x:v>
      </x:c>
    </x:row>
    <x:row r="47">
      <x:c r="A47" s="1">
        <x:v>4</x:v>
      </x:c>
      <x:c r="B47" t="s">
        <x:v>258</x:v>
      </x:c>
      <x:c r="C47" t="s">
        <x:v>258</x:v>
      </x:c>
      <x:c r="D47" t="s">
        <x:v>258</x:v>
      </x:c>
      <x:c r="E47" t="s">
        <x:v>258</x:v>
      </x:c>
      <x:c r="F47" t="s">
        <x:v>258</x:v>
      </x:c>
      <x:c r="G47" t="s">
        <x:v>258</x:v>
      </x:c>
      <x:c r="H47" t="s">
        <x:v>258</x:v>
      </x:c>
    </x:row>
    <x:row r="48">
      <x:c r="A48" s="1">
        <x:v>5</x:v>
      </x:c>
      <x:c r="B48" t="s">
        <x:v>279</x:v>
      </x:c>
      <x:c r="C48" t="s">
        <x:v>279</x:v>
      </x:c>
      <x:c r="D48" t="s">
        <x:v>279</x:v>
      </x:c>
      <x:c r="E48" t="s">
        <x:v>279</x:v>
      </x:c>
      <x:c r="F48" t="s">
        <x:v>279</x:v>
      </x:c>
      <x:c r="G48" t="s">
        <x:v>279</x:v>
      </x:c>
      <x:c r="H48" t="s">
        <x:v>279</x:v>
      </x:c>
    </x:row>
    <x:row r="49">
      <x:c r="A49" s="1">
        <x:v>6</x:v>
      </x:c>
      <x:c r="B49" t="s">
        <x:v>270</x:v>
      </x:c>
      <x:c r="C49" t="s">
        <x:v>270</x:v>
      </x:c>
      <x:c r="D49" t="s">
        <x:v>270</x:v>
      </x:c>
      <x:c r="E49" t="s">
        <x:v>270</x:v>
      </x:c>
      <x:c r="F49" t="s">
        <x:v>270</x:v>
      </x:c>
      <x:c r="G49" t="s">
        <x:v>270</x:v>
      </x:c>
      <x:c r="H49" t="s">
        <x:v>270</x:v>
      </x:c>
    </x:row>
    <x:row r="50">
      <x:c r="A50" s="1">
        <x:v>7</x:v>
      </x:c>
      <x:c r="B50" t="s">
        <x:v>252</x:v>
      </x:c>
      <x:c r="C50" t="s">
        <x:v>280</x:v>
      </x:c>
      <x:c r="D50" t="s">
        <x:v>252</x:v>
      </x:c>
      <x:c r="E50" t="s">
        <x:v>252</x:v>
      </x:c>
      <x:c r="F50" t="s">
        <x:v>252</x:v>
      </x:c>
      <x:c r="G50" t="s">
        <x:v>252</x:v>
      </x:c>
      <x:c r="H50" t="s">
        <x:v>280</x:v>
      </x:c>
    </x:row>
    <x:row r="51">
      <x:c r="A51" s="1">
        <x:v>8</x:v>
      </x:c>
      <x:c r="B51" t="s">
        <x:v>273</x:v>
      </x:c>
      <x:c r="C51" t="s">
        <x:v>273</x:v>
      </x:c>
      <x:c r="D51" t="s">
        <x:v>273</x:v>
      </x:c>
      <x:c r="E51" t="s">
        <x:v>273</x:v>
      </x:c>
      <x:c r="F51" t="s">
        <x:v>273</x:v>
      </x:c>
      <x:c r="G51" t="s">
        <x:v>273</x:v>
      </x:c>
      <x:c r="H51" t="s">
        <x:v>273</x:v>
      </x:c>
    </x:row>
    <x:row r="52">
      <x:c r="A52" s="1">
        <x:v>9</x:v>
      </x:c>
      <x:c r="B52" t="s">
        <x:v>266</x:v>
      </x:c>
      <x:c r="C52" t="s">
        <x:v>266</x:v>
      </x:c>
      <x:c r="D52" t="s">
        <x:v>266</x:v>
      </x:c>
      <x:c r="E52" t="s">
        <x:v>266</x:v>
      </x:c>
      <x:c r="F52" t="s">
        <x:v>266</x:v>
      </x:c>
      <x:c r="G52" t="s">
        <x:v>266</x:v>
      </x:c>
      <x:c r="H52" t="s">
        <x:v>266</x:v>
      </x:c>
    </x:row>
    <x:row r="53">
      <x:c r="A53" s="1">
        <x:v>10</x:v>
      </x:c>
      <x:c r="B53" t="s">
        <x:v>268</x:v>
      </x:c>
      <x:c r="C53" t="s">
        <x:v>268</x:v>
      </x:c>
      <x:c r="D53" t="s">
        <x:v>268</x:v>
      </x:c>
      <x:c r="E53" t="s">
        <x:v>268</x:v>
      </x:c>
      <x:c r="F53" t="s">
        <x:v>268</x:v>
      </x:c>
      <x:c r="G53" t="s">
        <x:v>268</x:v>
      </x:c>
      <x:c r="H53" t="s">
        <x:v>268</x:v>
      </x:c>
    </x:row>
    <x:row r="54">
      <x:c r="A54" s="1">
        <x:v>11</x:v>
      </x:c>
      <x:c r="B54" t="s">
        <x:v>267</x:v>
      </x:c>
      <x:c r="C54" t="s">
        <x:v>267</x:v>
      </x:c>
      <x:c r="D54" t="s">
        <x:v>267</x:v>
      </x:c>
      <x:c r="E54" t="s">
        <x:v>267</x:v>
      </x:c>
      <x:c r="F54" t="s">
        <x:v>267</x:v>
      </x:c>
      <x:c r="G54" t="s">
        <x:v>267</x:v>
      </x:c>
      <x:c r="H54" t="s">
        <x:v>267</x:v>
      </x:c>
    </x:row>
    <x:row r="55">
      <x:c r="A55" s="1">
        <x:v>12</x:v>
      </x:c>
      <x:c r="B55" t="s">
        <x:v>270</x:v>
      </x:c>
      <x:c r="C55" t="s">
        <x:v>270</x:v>
      </x:c>
      <x:c r="D55" t="s">
        <x:v>270</x:v>
      </x:c>
      <x:c r="E55" t="s">
        <x:v>270</x:v>
      </x:c>
      <x:c r="F55" t="s">
        <x:v>270</x:v>
      </x:c>
      <x:c r="G55" t="s">
        <x:v>270</x:v>
      </x:c>
      <x:c r="H55" t="s">
        <x:v>270</x:v>
      </x:c>
    </x:row>
    <x:row r="57" ht="21">
      <x:c r="A57" s="8" t="s">
        <x:v>60</x:v>
      </x:c>
      <x:c r="B57" s="3"/>
      <x:c r="C57" s="3"/>
      <x:c r="D57" s="3"/>
      <x:c r="E57" s="3"/>
      <x:c r="F57" s="3"/>
      <x:c r="G57" s="3"/>
      <x:c r="H57" s="3"/>
    </x:row>
    <x:row r="58" ht="15.75">
      <x:c r="A58" s="4" t="s">
        <x:v>86</x:v>
      </x:c>
      <x:c r="B58" s="3"/>
      <x:c r="C58" s="3"/>
      <x:c r="D58" s="3"/>
      <x:c r="E58" s="3"/>
      <x:c r="F58" s="3"/>
      <x:c r="G58" s="3"/>
      <x:c r="H58" s="3"/>
    </x:row>
    <x:row r="59">
      <x:c r="A59" s="1" t="s">
        <x:v>61</x:v>
      </x:c>
      <x:c r="B59" s="1" t="s">
        <x:v>21</x:v>
      </x:c>
      <x:c r="C59" s="1" t="s">
        <x:v>22</x:v>
      </x:c>
      <x:c r="D59" s="1" t="s">
        <x:v>23</x:v>
      </x:c>
      <x:c r="E59" s="1" t="s">
        <x:v>24</x:v>
      </x:c>
      <x:c r="F59" s="1" t="s">
        <x:v>14</x:v>
      </x:c>
      <x:c r="G59" s="1" t="s">
        <x:v>25</x:v>
      </x:c>
      <x:c r="H59" s="1" t="s">
        <x:v>26</x:v>
      </x:c>
    </x:row>
    <x:row r="60">
      <x:c r="A60">
        <x:v>1</x:v>
      </x:c>
      <x:c r="B60" t="s">
        <x:v>281</x:v>
      </x:c>
      <x:c r="C60" t="s">
        <x:v>281</x:v>
      </x:c>
      <x:c r="D60" t="s">
        <x:v>281</x:v>
      </x:c>
      <x:c r="E60" t="s">
        <x:v>281</x:v>
      </x:c>
      <x:c r="F60" t="s">
        <x:v>281</x:v>
      </x:c>
      <x:c r="G60" t="s">
        <x:v>281</x:v>
      </x:c>
      <x:c r="H60" t="s">
        <x:v>282</x:v>
      </x:c>
    </x:row>
    <x:row r="61">
      <x:c r="A61">
        <x:v>2</x:v>
      </x:c>
      <x:c r="B61" t="s">
        <x:v>283</x:v>
      </x:c>
      <x:c r="C61" t="s">
        <x:v>283</x:v>
      </x:c>
      <x:c r="D61" t="s">
        <x:v>284</x:v>
      </x:c>
      <x:c r="E61" t="s">
        <x:v>283</x:v>
      </x:c>
      <x:c r="F61" t="s">
        <x:v>283</x:v>
      </x:c>
      <x:c r="G61" t="s">
        <x:v>283</x:v>
      </x:c>
      <x:c r="H61" t="s">
        <x:v>283</x:v>
      </x:c>
    </x:row>
    <x:row r="62">
      <x:c r="A62">
        <x:v>3</x:v>
      </x:c>
      <x:c r="B62" t="s">
        <x:v>285</x:v>
      </x:c>
      <x:c r="C62" t="s">
        <x:v>285</x:v>
      </x:c>
      <x:c r="D62" t="s">
        <x:v>285</x:v>
      </x:c>
      <x:c r="E62" t="s">
        <x:v>285</x:v>
      </x:c>
      <x:c r="F62" t="s">
        <x:v>285</x:v>
      </x:c>
      <x:c r="G62" t="s">
        <x:v>285</x:v>
      </x:c>
      <x:c r="H62" t="s">
        <x:v>285</x:v>
      </x:c>
    </x:row>
    <x:row r="63">
      <x:c r="A63">
        <x:v>4</x:v>
      </x:c>
      <x:c r="B63" t="s">
        <x:v>286</x:v>
      </x:c>
      <x:c r="C63" t="s">
        <x:v>286</x:v>
      </x:c>
      <x:c r="D63" t="s">
        <x:v>286</x:v>
      </x:c>
      <x:c r="E63" t="s">
        <x:v>286</x:v>
      </x:c>
      <x:c r="F63" t="s">
        <x:v>286</x:v>
      </x:c>
      <x:c r="G63" t="s">
        <x:v>286</x:v>
      </x:c>
      <x:c r="H63" t="s">
        <x:v>286</x:v>
      </x:c>
    </x:row>
    <x:row r="64">
      <x:c r="A64">
        <x:v>5</x:v>
      </x:c>
      <x:c r="B64" t="s">
        <x:v>287</x:v>
      </x:c>
      <x:c r="C64" t="s">
        <x:v>287</x:v>
      </x:c>
      <x:c r="D64" t="s">
        <x:v>287</x:v>
      </x:c>
      <x:c r="E64" t="s">
        <x:v>287</x:v>
      </x:c>
      <x:c r="F64" t="s">
        <x:v>287</x:v>
      </x:c>
      <x:c r="G64" t="s">
        <x:v>287</x:v>
      </x:c>
      <x:c r="H64" t="s">
        <x:v>287</x:v>
      </x:c>
    </x:row>
    <x:row r="65">
      <x:c r="A65">
        <x:v>6</x:v>
      </x:c>
      <x:c r="B65" t="s">
        <x:v>288</x:v>
      </x:c>
      <x:c r="C65" t="s">
        <x:v>289</x:v>
      </x:c>
      <x:c r="D65" t="s">
        <x:v>288</x:v>
      </x:c>
      <x:c r="E65" t="s">
        <x:v>288</x:v>
      </x:c>
      <x:c r="F65" t="s">
        <x:v>289</x:v>
      </x:c>
      <x:c r="G65" t="s">
        <x:v>288</x:v>
      </x:c>
      <x:c r="H65" t="s">
        <x:v>288</x:v>
      </x:c>
    </x:row>
    <x:row r="66">
      <x:c r="A66"/>
    </x:row>
    <x:row r="67" ht="15.75">
      <x:c r="A67" s="4" t="s">
        <x:v>19</x:v>
      </x:c>
      <x:c r="B67" s="3"/>
      <x:c r="C67" s="3"/>
      <x:c r="D67" s="3"/>
      <x:c r="E67" s="3"/>
      <x:c r="F67" s="3"/>
      <x:c r="G67" s="3"/>
      <x:c r="H67" s="3"/>
    </x:row>
    <x:row r="68">
      <x:c r="A68" s="1" t="s">
        <x:v>61</x:v>
      </x:c>
      <x:c r="B68" s="1" t="s">
        <x:v>21</x:v>
      </x:c>
      <x:c r="C68" s="1" t="s">
        <x:v>22</x:v>
      </x:c>
      <x:c r="D68" s="1" t="s">
        <x:v>23</x:v>
      </x:c>
      <x:c r="E68" s="1" t="s">
        <x:v>24</x:v>
      </x:c>
      <x:c r="F68" s="1" t="s">
        <x:v>14</x:v>
      </x:c>
      <x:c r="G68" s="1" t="s">
        <x:v>25</x:v>
      </x:c>
      <x:c r="H68" s="1" t="s">
        <x:v>26</x:v>
      </x:c>
    </x:row>
    <x:row r="69">
      <x:c r="A69">
        <x:v>1</x:v>
      </x:c>
      <x:c r="B69" t="s">
        <x:v>290</x:v>
      </x:c>
      <x:c r="C69" t="s">
        <x:v>290</x:v>
      </x:c>
      <x:c r="D69" t="s">
        <x:v>290</x:v>
      </x:c>
      <x:c r="E69" t="s">
        <x:v>290</x:v>
      </x:c>
      <x:c r="F69" t="s">
        <x:v>290</x:v>
      </x:c>
      <x:c r="G69" t="s">
        <x:v>290</x:v>
      </x:c>
      <x:c r="H69" t="s">
        <x:v>290</x:v>
      </x:c>
    </x:row>
    <x:row r="70">
      <x:c r="A70">
        <x:v>2</x:v>
      </x:c>
      <x:c r="B70" t="s">
        <x:v>287</x:v>
      </x:c>
      <x:c r="C70" t="s">
        <x:v>287</x:v>
      </x:c>
      <x:c r="D70" t="s">
        <x:v>287</x:v>
      </x:c>
      <x:c r="E70" t="s">
        <x:v>287</x:v>
      </x:c>
      <x:c r="F70" t="s">
        <x:v>291</x:v>
      </x:c>
      <x:c r="G70" t="s">
        <x:v>287</x:v>
      </x:c>
      <x:c r="H70" t="s">
        <x:v>287</x:v>
      </x:c>
    </x:row>
    <x:row r="71">
      <x:c r="A71">
        <x:v>3</x:v>
      </x:c>
      <x:c r="B71" t="s">
        <x:v>292</x:v>
      </x:c>
      <x:c r="C71" t="s">
        <x:v>292</x:v>
      </x:c>
      <x:c r="D71" t="s">
        <x:v>292</x:v>
      </x:c>
      <x:c r="E71" t="s">
        <x:v>292</x:v>
      </x:c>
      <x:c r="F71" t="s">
        <x:v>292</x:v>
      </x:c>
      <x:c r="G71" t="s">
        <x:v>292</x:v>
      </x:c>
      <x:c r="H71" t="s">
        <x:v>292</x:v>
      </x:c>
    </x:row>
    <x:row r="72">
      <x:c r="A72">
        <x:v>4</x:v>
      </x:c>
      <x:c r="B72" t="s">
        <x:v>285</x:v>
      </x:c>
      <x:c r="C72" t="s">
        <x:v>285</x:v>
      </x:c>
      <x:c r="D72" t="s">
        <x:v>285</x:v>
      </x:c>
      <x:c r="E72" t="s">
        <x:v>285</x:v>
      </x:c>
      <x:c r="F72" t="s">
        <x:v>285</x:v>
      </x:c>
      <x:c r="G72" t="s">
        <x:v>285</x:v>
      </x:c>
      <x:c r="H72" t="s">
        <x:v>285</x:v>
      </x:c>
    </x:row>
    <x:row r="73">
      <x:c r="A73">
        <x:v>5</x:v>
      </x:c>
      <x:c r="B73" t="s">
        <x:v>293</x:v>
      </x:c>
      <x:c r="C73" t="s">
        <x:v>293</x:v>
      </x:c>
      <x:c r="D73" t="s">
        <x:v>294</x:v>
      </x:c>
      <x:c r="E73" t="s">
        <x:v>293</x:v>
      </x:c>
      <x:c r="F73" t="s">
        <x:v>293</x:v>
      </x:c>
      <x:c r="G73" t="s">
        <x:v>293</x:v>
      </x:c>
      <x:c r="H73" t="s">
        <x:v>293</x:v>
      </x:c>
    </x:row>
    <x:row r="74">
      <x:c r="A74">
        <x:v>6</x:v>
      </x:c>
      <x:c r="B74" t="s">
        <x:v>295</x:v>
      </x:c>
      <x:c r="C74" t="s">
        <x:v>295</x:v>
      </x:c>
      <x:c r="D74" t="s">
        <x:v>296</x:v>
      </x:c>
      <x:c r="E74" t="s">
        <x:v>295</x:v>
      </x:c>
      <x:c r="F74" t="s">
        <x:v>295</x:v>
      </x:c>
      <x:c r="G74" t="s">
        <x:v>296</x:v>
      </x:c>
      <x:c r="H74" t="s">
        <x:v>295</x:v>
      </x:c>
    </x:row>
    <x:row r="75">
      <x:c r="A75"/>
    </x:row>
    <x:row r="76" ht="15.75">
      <x:c r="A76" s="4" t="s">
        <x:v>40</x:v>
      </x:c>
      <x:c r="B76" s="3"/>
      <x:c r="C76" s="3"/>
      <x:c r="D76" s="3"/>
      <x:c r="E76" s="3"/>
      <x:c r="F76" s="3"/>
      <x:c r="G76" s="3"/>
      <x:c r="H76" s="3"/>
    </x:row>
    <x:row r="77">
      <x:c r="A77" s="1" t="s">
        <x:v>61</x:v>
      </x:c>
      <x:c r="B77" s="1" t="s">
        <x:v>21</x:v>
      </x:c>
      <x:c r="C77" s="1" t="s">
        <x:v>22</x:v>
      </x:c>
      <x:c r="D77" s="1" t="s">
        <x:v>23</x:v>
      </x:c>
      <x:c r="E77" s="1" t="s">
        <x:v>24</x:v>
      </x:c>
      <x:c r="F77" s="1" t="s">
        <x:v>14</x:v>
      </x:c>
      <x:c r="G77" s="1" t="s">
        <x:v>25</x:v>
      </x:c>
      <x:c r="H77" s="1" t="s">
        <x:v>26</x:v>
      </x:c>
    </x:row>
    <x:row r="78">
      <x:c r="A78">
        <x:v>1</x:v>
      </x:c>
      <x:c r="B78" t="s">
        <x:v>286</x:v>
      </x:c>
      <x:c r="C78" t="s">
        <x:v>286</x:v>
      </x:c>
      <x:c r="D78" t="s">
        <x:v>286</x:v>
      </x:c>
      <x:c r="E78" t="s">
        <x:v>286</x:v>
      </x:c>
      <x:c r="F78" t="s">
        <x:v>286</x:v>
      </x:c>
      <x:c r="G78" t="s">
        <x:v>286</x:v>
      </x:c>
      <x:c r="H78" t="s">
        <x:v>286</x:v>
      </x:c>
    </x:row>
    <x:row r="79">
      <x:c r="A79">
        <x:v>2</x:v>
      </x:c>
      <x:c r="B79" t="s">
        <x:v>287</x:v>
      </x:c>
      <x:c r="C79" t="s">
        <x:v>287</x:v>
      </x:c>
      <x:c r="D79" t="s">
        <x:v>287</x:v>
      </x:c>
      <x:c r="E79" t="s">
        <x:v>287</x:v>
      </x:c>
      <x:c r="F79" t="s">
        <x:v>287</x:v>
      </x:c>
      <x:c r="G79" t="s">
        <x:v>287</x:v>
      </x:c>
      <x:c r="H79" t="s">
        <x:v>287</x:v>
      </x:c>
    </x:row>
    <x:row r="80">
      <x:c r="A80">
        <x:v>3</x:v>
      </x:c>
      <x:c r="B80" t="s">
        <x:v>297</x:v>
      </x:c>
      <x:c r="C80" t="s">
        <x:v>297</x:v>
      </x:c>
      <x:c r="D80" t="s">
        <x:v>297</x:v>
      </x:c>
      <x:c r="E80" t="s">
        <x:v>297</x:v>
      </x:c>
      <x:c r="F80" t="s">
        <x:v>297</x:v>
      </x:c>
      <x:c r="G80" t="s">
        <x:v>297</x:v>
      </x:c>
      <x:c r="H80" t="s">
        <x:v>297</x:v>
      </x:c>
    </x:row>
    <x:row r="81">
      <x:c r="A81">
        <x:v>4</x:v>
      </x:c>
      <x:c r="B81" t="s">
        <x:v>298</x:v>
      </x:c>
      <x:c r="C81" t="s">
        <x:v>299</x:v>
      </x:c>
      <x:c r="D81" t="s">
        <x:v>298</x:v>
      </x:c>
      <x:c r="E81" t="s">
        <x:v>299</x:v>
      </x:c>
      <x:c r="F81" t="s">
        <x:v>298</x:v>
      </x:c>
      <x:c r="G81" t="s">
        <x:v>298</x:v>
      </x:c>
      <x:c r="H81" t="s">
        <x:v>299</x:v>
      </x:c>
    </x:row>
    <x:row r="82">
      <x:c r="A82">
        <x:v>5</x:v>
      </x:c>
      <x:c r="B82" t="s">
        <x:v>290</x:v>
      </x:c>
      <x:c r="C82" t="s">
        <x:v>290</x:v>
      </x:c>
      <x:c r="D82" t="s">
        <x:v>290</x:v>
      </x:c>
      <x:c r="E82" t="s">
        <x:v>300</x:v>
      </x:c>
      <x:c r="F82" t="s">
        <x:v>290</x:v>
      </x:c>
      <x:c r="G82" t="s">
        <x:v>290</x:v>
      </x:c>
      <x:c r="H82" t="s">
        <x:v>290</x:v>
      </x:c>
    </x:row>
    <x:row r="83">
      <x:c r="A83">
        <x:v>6</x:v>
      </x:c>
      <x:c r="B83" t="s">
        <x:v>301</x:v>
      </x:c>
      <x:c r="C83" t="s">
        <x:v>286</x:v>
      </x:c>
      <x:c r="D83" t="s">
        <x:v>286</x:v>
      </x:c>
      <x:c r="E83" t="s">
        <x:v>286</x:v>
      </x:c>
      <x:c r="F83" t="s">
        <x:v>286</x:v>
      </x:c>
      <x:c r="G83" t="s">
        <x:v>286</x:v>
      </x:c>
      <x:c r="H83" t="s">
        <x:v>286</x:v>
      </x:c>
    </x:row>
    <x:row r="84">
      <x:c r="A84"/>
    </x:row>
    <x:row r="85" ht="15.75">
      <x:c r="A85" s="4" t="s">
        <x:v>51</x:v>
      </x:c>
      <x:c r="B85" s="3"/>
      <x:c r="C85" s="3"/>
      <x:c r="D85" s="3"/>
      <x:c r="E85" s="3"/>
      <x:c r="F85" s="3"/>
      <x:c r="G85" s="3"/>
      <x:c r="H85" s="3"/>
    </x:row>
    <x:row r="86">
      <x:c r="A86" s="1" t="s">
        <x:v>61</x:v>
      </x:c>
      <x:c r="B86" s="1" t="s">
        <x:v>21</x:v>
      </x:c>
      <x:c r="C86" s="1" t="s">
        <x:v>22</x:v>
      </x:c>
      <x:c r="D86" s="1" t="s">
        <x:v>23</x:v>
      </x:c>
      <x:c r="E86" s="1" t="s">
        <x:v>24</x:v>
      </x:c>
      <x:c r="F86" s="1" t="s">
        <x:v>14</x:v>
      </x:c>
      <x:c r="G86" s="1" t="s">
        <x:v>25</x:v>
      </x:c>
      <x:c r="H86" s="1" t="s">
        <x:v>26</x:v>
      </x:c>
    </x:row>
    <x:row r="87">
      <x:c r="A87">
        <x:v>1</x:v>
      </x:c>
      <x:c r="B87" t="s">
        <x:v>297</x:v>
      </x:c>
      <x:c r="C87" t="s">
        <x:v>297</x:v>
      </x:c>
      <x:c r="D87" t="s">
        <x:v>297</x:v>
      </x:c>
      <x:c r="E87" t="s">
        <x:v>297</x:v>
      </x:c>
      <x:c r="F87" t="s">
        <x:v>297</x:v>
      </x:c>
      <x:c r="G87" t="s">
        <x:v>297</x:v>
      </x:c>
      <x:c r="H87" t="s">
        <x:v>297</x:v>
      </x:c>
    </x:row>
    <x:row r="88">
      <x:c r="A88">
        <x:v>2</x:v>
      </x:c>
      <x:c r="B88" t="s">
        <x:v>302</x:v>
      </x:c>
      <x:c r="C88" t="s">
        <x:v>302</x:v>
      </x:c>
      <x:c r="D88" t="s">
        <x:v>302</x:v>
      </x:c>
      <x:c r="E88" t="s">
        <x:v>302</x:v>
      </x:c>
      <x:c r="F88" t="s">
        <x:v>302</x:v>
      </x:c>
      <x:c r="G88" t="s">
        <x:v>302</x:v>
      </x:c>
      <x:c r="H88" t="s">
        <x:v>302</x:v>
      </x:c>
    </x:row>
    <x:row r="89">
      <x:c r="A89">
        <x:v>3</x:v>
      </x:c>
      <x:c r="B89" t="s">
        <x:v>303</x:v>
      </x:c>
      <x:c r="C89" t="s">
        <x:v>266</x:v>
      </x:c>
      <x:c r="D89" t="s">
        <x:v>266</x:v>
      </x:c>
      <x:c r="E89" t="s">
        <x:v>303</x:v>
      </x:c>
      <x:c r="F89" t="s">
        <x:v>303</x:v>
      </x:c>
      <x:c r="G89" t="s">
        <x:v>266</x:v>
      </x:c>
      <x:c r="H89" t="s">
        <x:v>266</x:v>
      </x:c>
    </x:row>
    <x:row r="90">
      <x:c r="A90">
        <x:v>4</x:v>
      </x:c>
      <x:c r="B90" t="s">
        <x:v>297</x:v>
      </x:c>
      <x:c r="C90" t="s">
        <x:v>297</x:v>
      </x:c>
      <x:c r="D90" t="s">
        <x:v>297</x:v>
      </x:c>
      <x:c r="E90" t="s">
        <x:v>297</x:v>
      </x:c>
      <x:c r="F90" t="s">
        <x:v>297</x:v>
      </x:c>
      <x:c r="G90" t="s">
        <x:v>297</x:v>
      </x:c>
      <x:c r="H90" t="s">
        <x:v>297</x:v>
      </x:c>
    </x:row>
    <x:row r="91">
      <x:c r="A91">
        <x:v>5</x:v>
      </x:c>
      <x:c r="B91" t="s">
        <x:v>270</x:v>
      </x:c>
      <x:c r="C91" t="s">
        <x:v>270</x:v>
      </x:c>
      <x:c r="D91" t="s">
        <x:v>270</x:v>
      </x:c>
      <x:c r="E91" t="s">
        <x:v>270</x:v>
      </x:c>
      <x:c r="F91" t="s">
        <x:v>270</x:v>
      </x:c>
      <x:c r="G91" t="s">
        <x:v>270</x:v>
      </x:c>
      <x:c r="H91" t="s">
        <x:v>270</x:v>
      </x:c>
    </x:row>
    <x:row r="92">
      <x:c r="A92">
        <x:v>6</x:v>
      </x:c>
      <x:c r="B92" t="s">
        <x:v>302</x:v>
      </x:c>
      <x:c r="C92" t="s">
        <x:v>302</x:v>
      </x:c>
      <x:c r="D92" t="s">
        <x:v>302</x:v>
      </x:c>
      <x:c r="E92" t="s">
        <x:v>302</x:v>
      </x:c>
      <x:c r="F92" t="s">
        <x:v>302</x:v>
      </x:c>
      <x:c r="G92" t="s">
        <x:v>302</x:v>
      </x:c>
      <x:c r="H92" t="s">
        <x:v>302</x:v>
      </x:c>
    </x:row>
  </x:sheetData>
  <x:pageMargins left="0.7" right="0.7" top="0.75" bottom="0.75" header="0.3" footer="0.3"/>
  <x:tableParts count="8">
    <x:tablePart xmlns:r="http://schemas.openxmlformats.org/officeDocument/2006/relationships" r:id="R93f6ba40a82f4b7c"/>
    <x:tablePart xmlns:r="http://schemas.openxmlformats.org/officeDocument/2006/relationships" r:id="Rab01d81c0d544c8e"/>
    <x:tablePart xmlns:r="http://schemas.openxmlformats.org/officeDocument/2006/relationships" r:id="R68a3708eba474141"/>
    <x:tablePart xmlns:r="http://schemas.openxmlformats.org/officeDocument/2006/relationships" r:id="R3ca683629c34409d"/>
    <x:tablePart xmlns:r="http://schemas.openxmlformats.org/officeDocument/2006/relationships" r:id="Reb0ce7fffeb04c19"/>
    <x:tablePart xmlns:r="http://schemas.openxmlformats.org/officeDocument/2006/relationships" r:id="R10f6ef161f11409b"/>
    <x:tablePart xmlns:r="http://schemas.openxmlformats.org/officeDocument/2006/relationships" r:id="Rd412f18f2d894ffa"/>
    <x:tablePart xmlns:r="http://schemas.openxmlformats.org/officeDocument/2006/relationships" r:id="R6c20650bc24843f5"/>
  </x:tableParts>
</x:worksheet>
</file>

<file path=xl/worksheets/sheet6.xml><?xml version="1.0" encoding="utf-8"?>
<x:worksheet xmlns:x="http://schemas.openxmlformats.org/spreadsheetml/2006/main">
  <x:sheetFormatPr defaultRowHeight="15"/>
  <x:cols>
    <x:col min="1" max="1" width="5.42578125" customWidth="1"/>
    <x:col min="2" max="2" width="9.85546875" customWidth="1"/>
    <x:col min="3" max="3" width="11.7109375" customWidth="1"/>
    <x:col min="4" max="4" width="10.7109375" customWidth="1"/>
    <x:col min="5" max="5" width="13.85546875" customWidth="1"/>
    <x:col min="6" max="6" width="6.140625" customWidth="1"/>
    <x:col min="7" max="7" width="11.7109375" customWidth="1"/>
    <x:col min="8" max="8" width="11.5703125" customWidth="1"/>
    <x:col min="9" max="9" width="12.7109375" customWidth="1"/>
    <x:col min="12" max="12" width="28" hidden="0" customWidth="1"/>
    <x:col min="13" max="18" width="16" customWidth="1"/>
    <x:col min="13" max="13" width="34" hidden="0" customWidth="1"/>
    <x:col min="14" max="14" width="34" hidden="0" customWidth="1"/>
  </x:cols>
  <x:sheetData>
    <x:row r="1" ht="18.75">
      <x:c r="A1" s="3" t="s">
        <x:v>304</x:v>
      </x:c>
      <x:c r="B1" s="3"/>
      <x:c r="C1" s="3"/>
      <x:c r="D1" s="3"/>
      <x:c r="F1" s="3" t="s">
        <x:v>305</x:v>
      </x:c>
      <x:c r="G1" s="3"/>
      <x:c r="H1" s="3"/>
      <x:c r="I1" s="3"/>
      <x:c r="L1" s="61" t="s">
        <x:v>306</x:v>
      </x:c>
      <x:c r="M1" s="61"/>
      <x:c r="N1" s="61"/>
      <x:c r="O1" s="61"/>
      <x:c r="P1" s="61"/>
      <x:c r="Q1" s="61"/>
      <x:c r="R1" s="61"/>
    </x:row>
    <x:row r="2" ht="30">
      <x:c r="A2" s="1" t="s">
        <x:v>61</x:v>
      </x:c>
      <x:c r="B2" t="s">
        <x:v>307</x:v>
      </x:c>
      <x:c r="C2" t="s">
        <x:v>308</x:v>
      </x:c>
      <x:c r="D2" t="s">
        <x:v>309</x:v>
      </x:c>
      <x:c r="F2" s="1" t="s">
        <x:v>61</x:v>
      </x:c>
      <x:c r="G2" t="s">
        <x:v>307</x:v>
      </x:c>
      <x:c r="H2" t="s">
        <x:v>308</x:v>
      </x:c>
      <x:c r="I2" t="s">
        <x:v>309</x:v>
      </x:c>
      <x:c r="L2" s="19" t="s">
        <x:v>310</x:v>
      </x:c>
      <x:c r="M2" s="19" t="s">
        <x:v>311</x:v>
      </x:c>
      <x:c r="N2" s="19" t="s">
        <x:v>312</x:v>
      </x:c>
      <x:c r="O2" s="12" t="s">
        <x:v>313</x:v>
      </x:c>
      <x:c r="P2" s="12" t="s">
        <x:v>314</x:v>
      </x:c>
      <x:c r="Q2" s="12" t="s">
        <x:v>315</x:v>
      </x:c>
      <x:c r="R2" s="12" t="s">
        <x:v>316</x:v>
      </x:c>
    </x:row>
    <x:row r="3">
      <x:c r="A3" s="1">
        <x:v>1</x:v>
      </x:c>
      <x:c r="B3" t="s">
        <x:v>317</x:v>
      </x:c>
      <x:c r="C3" t="s">
        <x:v>317</x:v>
      </x:c>
      <x:c r="D3" t="s">
        <x:v>317</x:v>
      </x:c>
      <x:c r="F3" s="1">
        <x:v>1</x:v>
      </x:c>
      <x:c r="G3" t="s">
        <x:v>318</x:v>
      </x:c>
      <x:c r="H3" t="s">
        <x:v>319</x:v>
      </x:c>
      <x:c r="I3" t="s">
        <x:v>319</x:v>
      </x:c>
      <x:c r="L3" s="19" t="s">
        <x:v>320</x:v>
      </x:c>
      <x:c r="M3" s="20">
        <x:v>250</x:v>
      </x:c>
      <x:c r="N3" s="20">
        <x:v>40000</x:v>
      </x:c>
      <x:c r="O3" s="21">
        <x:v>600</x:v>
      </x:c>
      <x:c r="P3" s="21">
        <x:v>0</x:v>
      </x:c>
      <x:c r="Q3" s="21">
        <x:v>12</x:v>
      </x:c>
      <x:c r="R3" s="21">
        <x:v>6</x:v>
      </x:c>
    </x:row>
    <x:row r="4">
      <x:c r="A4" s="1">
        <x:v>2</x:v>
      </x:c>
      <x:c r="B4" t="s">
        <x:v>317</x:v>
      </x:c>
      <x:c r="C4" t="s">
        <x:v>317</x:v>
      </x:c>
      <x:c r="D4" t="s">
        <x:v>317</x:v>
      </x:c>
      <x:c r="F4" s="1">
        <x:v>2</x:v>
      </x:c>
      <x:c r="G4" t="s">
        <x:v>318</x:v>
      </x:c>
      <x:c r="H4" t="s">
        <x:v>319</x:v>
      </x:c>
      <x:c r="I4" t="s">
        <x:v>319</x:v>
      </x:c>
      <x:c r="L4" s="19" t="s">
        <x:v>321</x:v>
      </x:c>
      <x:c r="M4" s="20">
        <x:v>500</x:v>
      </x:c>
      <x:c r="N4" s="20">
        <x:v>80000</x:v>
      </x:c>
      <x:c r="O4" s="21">
        <x:v>1200</x:v>
      </x:c>
      <x:c r="P4" s="21">
        <x:v>0</x:v>
      </x:c>
      <x:c r="Q4" s="21">
        <x:v>24</x:v>
      </x:c>
      <x:c r="R4" s="21">
        <x:v>12</x:v>
      </x:c>
    </x:row>
    <x:row r="5">
      <x:c r="A5" s="1">
        <x:v>3</x:v>
      </x:c>
      <x:c r="B5" t="s">
        <x:v>317</x:v>
      </x:c>
      <x:c r="C5" t="s">
        <x:v>317</x:v>
      </x:c>
      <x:c r="D5" t="s">
        <x:v>317</x:v>
      </x:c>
      <x:c r="F5" s="1">
        <x:v>3</x:v>
      </x:c>
      <x:c r="G5" t="s">
        <x:v>318</x:v>
      </x:c>
      <x:c r="H5" t="s">
        <x:v>318</x:v>
      </x:c>
      <x:c r="I5" t="s">
        <x:v>319</x:v>
      </x:c>
      <x:c r="L5" s="19" t="s">
        <x:v>322</x:v>
      </x:c>
      <x:c r="M5" s="20">
        <x:v>750</x:v>
      </x:c>
      <x:c r="N5" s="20">
        <x:v>120000</x:v>
      </x:c>
      <x:c r="O5" s="21">
        <x:v>1800</x:v>
      </x:c>
      <x:c r="P5" s="21">
        <x:v>0</x:v>
      </x:c>
      <x:c r="Q5" s="21">
        <x:v>36</x:v>
      </x:c>
      <x:c r="R5" s="21">
        <x:v>18</x:v>
      </x:c>
    </x:row>
    <x:row r="6">
      <x:c r="A6" s="1">
        <x:v>4</x:v>
      </x:c>
      <x:c r="B6" t="s">
        <x:v>317</x:v>
      </x:c>
      <x:c r="C6" t="s">
        <x:v>317</x:v>
      </x:c>
      <x:c r="D6" t="s">
        <x:v>319</x:v>
      </x:c>
      <x:c r="F6" s="1">
        <x:v>4</x:v>
      </x:c>
      <x:c r="G6" t="s">
        <x:v>318</x:v>
      </x:c>
      <x:c r="H6" t="s">
        <x:v>318</x:v>
      </x:c>
      <x:c r="I6" t="s">
        <x:v>319</x:v>
      </x:c>
      <x:c r="L6" s="62" t="s">
        <x:v>323</x:v>
      </x:c>
      <x:c r="M6" s="62"/>
      <x:c r="N6" s="62"/>
      <x:c r="O6" s="62"/>
      <x:c r="P6" s="62"/>
      <x:c r="Q6" s="62"/>
      <x:c r="R6" s="62"/>
    </x:row>
    <x:row r="7">
      <x:c r="A7" s="1">
        <x:v>5</x:v>
      </x:c>
      <x:c r="B7" t="s">
        <x:v>317</x:v>
      </x:c>
      <x:c r="C7" t="s">
        <x:v>317</x:v>
      </x:c>
      <x:c r="D7" t="s">
        <x:v>319</x:v>
      </x:c>
      <x:c r="F7" s="1">
        <x:v>5</x:v>
      </x:c>
      <x:c r="G7" t="s">
        <x:v>324</x:v>
      </x:c>
      <x:c r="H7" t="s">
        <x:v>319</x:v>
      </x:c>
      <x:c r="I7" t="s">
        <x:v>318</x:v>
      </x:c>
    </x:row>
    <x:row r="8">
      <x:c r="A8" s="1">
        <x:v>6</x:v>
      </x:c>
      <x:c r="B8" t="s">
        <x:v>317</x:v>
      </x:c>
      <x:c r="C8" t="s">
        <x:v>317</x:v>
      </x:c>
      <x:c r="D8" t="s">
        <x:v>319</x:v>
      </x:c>
      <x:c r="F8" s="1">
        <x:v>6</x:v>
      </x:c>
      <x:c r="G8" t="s">
        <x:v>324</x:v>
      </x:c>
      <x:c r="H8" t="s">
        <x:v>319</x:v>
      </x:c>
      <x:c r="I8" t="s">
        <x:v>318</x:v>
      </x:c>
    </x:row>
    <x:row r="9" ht="26" customHeight="1">
      <x:c r="A9" s="3" t="s">
        <x:v>325</x:v>
      </x:c>
      <x:c r="B9" s="3"/>
      <x:c r="C9" s="3"/>
      <x:c r="D9" s="3"/>
      <x:c r="F9" s="3" t="s">
        <x:v>326</x:v>
      </x:c>
      <x:c r="G9" s="3"/>
      <x:c r="H9" s="3"/>
      <x:c r="I9" s="3"/>
      <x:c r="L9" s="130" t="str">
        <x:v>CLAN FORCE ORGANIZATION TABLE</x:v>
      </x:c>
      <x:c r="M9" s="130"/>
      <x:c r="N9" s="130"/>
    </x:row>
    <x:row r="10">
      <x:c r="A10" s="1" t="s">
        <x:v>61</x:v>
      </x:c>
      <x:c r="B10" t="s">
        <x:v>307</x:v>
      </x:c>
      <x:c r="C10" t="s">
        <x:v>308</x:v>
      </x:c>
      <x:c r="D10" t="s">
        <x:v>309</x:v>
      </x:c>
      <x:c r="F10" s="1" t="s">
        <x:v>61</x:v>
      </x:c>
      <x:c r="G10" t="s">
        <x:v>307</x:v>
      </x:c>
      <x:c r="H10" t="s">
        <x:v>308</x:v>
      </x:c>
      <x:c r="I10" t="s">
        <x:v>309</x:v>
      </x:c>
      <x:c r="L10" s="93" t="str">
        <x:v>Organization</x:v>
      </x:c>
      <x:c r="M10" s="93" t="str">
        <x:v>Definition</x:v>
      </x:c>
      <x:c r="N10" s="93" t="str">
        <x:v>Command Rank</x:v>
      </x:c>
    </x:row>
    <x:row r="11" ht="30" customHeight="1">
      <x:c r="A11" s="1">
        <x:v>1</x:v>
      </x:c>
      <x:c r="B11" t="s">
        <x:v>319</x:v>
      </x:c>
      <x:c r="C11" t="s">
        <x:v>317</x:v>
      </x:c>
      <x:c r="D11" t="s">
        <x:v>317</x:v>
      </x:c>
      <x:c r="F11" s="1">
        <x:v>1</x:v>
      </x:c>
      <x:c r="G11" t="s">
        <x:v>324</x:v>
      </x:c>
      <x:c r="H11" t="s">
        <x:v>318</x:v>
      </x:c>
      <x:c r="I11" t="s">
        <x:v>318</x:v>
      </x:c>
      <x:c r="L11" s="93" t="str">
        <x:v>Point (Battle Armor)</x:v>
      </x:c>
      <x:c r="M11" s="93" t="str">
        <x:v>5 troopers</x:v>
      </x:c>
      <x:c r="N11" s="93" t="str">
        <x:v>Point Commander</x:v>
      </x:c>
    </x:row>
    <x:row r="12" ht="30" customHeight="1">
      <x:c r="A12" s="1">
        <x:v>2</x:v>
      </x:c>
      <x:c r="B12" t="s">
        <x:v>319</x:v>
      </x:c>
      <x:c r="C12" t="s">
        <x:v>317</x:v>
      </x:c>
      <x:c r="D12" t="s">
        <x:v>317</x:v>
      </x:c>
      <x:c r="F12" s="1">
        <x:v>2</x:v>
      </x:c>
      <x:c r="G12" t="s">
        <x:v>324</x:v>
      </x:c>
      <x:c r="H12" t="s">
        <x:v>318</x:v>
      </x:c>
      <x:c r="I12" t="s">
        <x:v>318</x:v>
      </x:c>
      <x:c r="L12" s="93" t="str">
        <x:v>Point (Conventional)</x:v>
      </x:c>
      <x:c r="M12" s="93" t="str">
        <x:v>20–25 troopers</x:v>
      </x:c>
      <x:c r="N12" s="93" t="str">
        <x:v>Point Commander</x:v>
      </x:c>
    </x:row>
    <x:row r="13" ht="30" customHeight="1">
      <x:c r="A13" s="1">
        <x:v>3</x:v>
      </x:c>
      <x:c r="B13" t="s">
        <x:v>319</x:v>
      </x:c>
      <x:c r="C13" t="s">
        <x:v>319</x:v>
      </x:c>
      <x:c r="D13" t="s">
        <x:v>317</x:v>
      </x:c>
      <x:c r="F13" s="1">
        <x:v>3</x:v>
      </x:c>
      <x:c r="G13" t="s">
        <x:v>324</x:v>
      </x:c>
      <x:c r="H13" t="s">
        <x:v>324</x:v>
      </x:c>
      <x:c r="I13" t="s">
        <x:v>318</x:v>
      </x:c>
      <x:c r="L13" s="93" t="str">
        <x:v>Point (BattleMech)</x:v>
      </x:c>
      <x:c r="M13" s="93" t="str">
        <x:v>1 ’Mech</x:v>
      </x:c>
      <x:c r="N13" s="93" t="str">
        <x:v>MechWarrior or Point Commander</x:v>
      </x:c>
    </x:row>
    <x:row r="14" ht="30" customHeight="1">
      <x:c r="A14" s="9">
        <x:v>4</x:v>
      </x:c>
      <x:c r="B14" t="s">
        <x:v>319</x:v>
      </x:c>
      <x:c r="C14" t="s">
        <x:v>319</x:v>
      </x:c>
      <x:c r="D14" t="s">
        <x:v>317</x:v>
      </x:c>
      <x:c r="F14" s="1">
        <x:v>4</x:v>
      </x:c>
      <x:c r="G14" t="s">
        <x:v>324</x:v>
      </x:c>
      <x:c r="H14" t="s">
        <x:v>324</x:v>
      </x:c>
      <x:c r="I14" t="s">
        <x:v>318</x:v>
      </x:c>
      <x:c r="L14" s="93" t="str">
        <x:v>Point (Fighter)</x:v>
      </x:c>
      <x:c r="M14" s="93" t="str">
        <x:v>2 fighters</x:v>
      </x:c>
      <x:c r="N14" s="93" t="str">
        <x:v>Point Commander</x:v>
      </x:c>
    </x:row>
    <x:row r="15" ht="30" customHeight="1">
      <x:c r="A15" s="1">
        <x:v>5</x:v>
      </x:c>
      <x:c r="B15" t="s">
        <x:v>318</x:v>
      </x:c>
      <x:c r="C15" t="s">
        <x:v>317</x:v>
      </x:c>
      <x:c r="D15" t="s">
        <x:v>319</x:v>
      </x:c>
      <x:c r="F15" s="1">
        <x:v>5</x:v>
      </x:c>
      <x:c r="G15" t="s">
        <x:v>324</x:v>
      </x:c>
      <x:c r="H15" t="s">
        <x:v>324</x:v>
      </x:c>
      <x:c r="I15" t="s">
        <x:v>324</x:v>
      </x:c>
      <x:c r="L15" s="93" t="str">
        <x:v>Star</x:v>
      </x:c>
      <x:c r="M15" s="93" t="str">
        <x:v>5 Points</x:v>
      </x:c>
      <x:c r="N15" s="93" t="str">
        <x:v>Star Commander</x:v>
      </x:c>
    </x:row>
    <x:row r="16" ht="30" customHeight="1">
      <x:c r="A16" s="1">
        <x:v>6</x:v>
      </x:c>
      <x:c r="B16" t="s">
        <x:v>318</x:v>
      </x:c>
      <x:c r="C16" t="s">
        <x:v>317</x:v>
      </x:c>
      <x:c r="D16" t="s">
        <x:v>319</x:v>
      </x:c>
      <x:c r="F16" s="1">
        <x:v>6</x:v>
      </x:c>
      <x:c r="G16" t="s">
        <x:v>324</x:v>
      </x:c>
      <x:c r="H16" t="s">
        <x:v>324</x:v>
      </x:c>
      <x:c r="I16" t="s">
        <x:v>324</x:v>
      </x:c>
      <x:c r="L16" s="93" t="str">
        <x:v>Nova</x:v>
      </x:c>
      <x:c r="M16" s="93" t="str">
        <x:v>1 ’Mech Star + 1 Battle Armor Star</x:v>
      </x:c>
      <x:c r="N16" s="93" t="str">
        <x:v>Star Commander or Nova Commander</x:v>
      </x:c>
    </x:row>
    <x:row r="17" ht="30" customHeight="1">
      <x:c r="L17" s="93" t="str">
        <x:v>Binary</x:v>
      </x:c>
      <x:c r="M17" s="93" t="str">
        <x:v>2 Stars</x:v>
      </x:c>
      <x:c r="N17" s="93" t="str">
        <x:v>Star Captain</x:v>
      </x:c>
    </x:row>
    <x:row r="18" ht="30" customHeight="1">
      <x:c r="A18" s="3" t="s">
        <x:v>327</x:v>
      </x:c>
      <x:c r="B18" s="3"/>
      <x:c r="C18" s="3"/>
      <x:c r="D18" s="3"/>
      <x:c r="E18" s="3"/>
      <x:c r="L18" s="93" t="str">
        <x:v>Supernova Binary</x:v>
      </x:c>
      <x:c r="M18" s="93" t="str">
        <x:v>2 Novas</x:v>
      </x:c>
      <x:c r="N18" s="93" t="str">
        <x:v>Star Captain or Nova Captain</x:v>
      </x:c>
    </x:row>
    <x:row r="19" ht="30" customHeight="1">
      <x:c r="A19" s="1" t="s">
        <x:v>61</x:v>
      </x:c>
      <x:c r="B19" t="s">
        <x:v>328</x:v>
      </x:c>
      <x:c r="C19" t="s">
        <x:v>329</x:v>
      </x:c>
      <x:c r="D19" t="s">
        <x:v>330</x:v>
      </x:c>
      <x:c r="E19" t="s">
        <x:v>86</x:v>
      </x:c>
      <x:c r="L19" s="93" t="str">
        <x:v>Trinary</x:v>
      </x:c>
      <x:c r="M19" s="93" t="str">
        <x:v>3 Stars</x:v>
      </x:c>
      <x:c r="N19" s="93" t="str">
        <x:v>Star Captain</x:v>
      </x:c>
    </x:row>
    <x:row r="20" ht="30" customHeight="1">
      <x:c r="A20" s="1">
        <x:v>1</x:v>
      </x:c>
      <x:c r="B20" t="s">
        <x:v>331</x:v>
      </x:c>
      <x:c r="C20" t="s">
        <x:v>331</x:v>
      </x:c>
      <x:c r="D20" t="s">
        <x:v>324</x:v>
      </x:c>
      <x:c r="E20" t="s">
        <x:v>324</x:v>
      </x:c>
      <x:c r="L20" s="93" t="str">
        <x:v>Supernova Trinary</x:v>
      </x:c>
      <x:c r="M20" s="93" t="str">
        <x:v>3 Novas</x:v>
      </x:c>
      <x:c r="N20" s="93" t="str">
        <x:v>Star Captain or Nova Captain</x:v>
      </x:c>
    </x:row>
    <x:row r="21" ht="30" customHeight="1">
      <x:c r="A21" s="1">
        <x:v>2</x:v>
      </x:c>
      <x:c r="B21" t="s">
        <x:v>332</x:v>
      </x:c>
      <x:c r="C21" t="s">
        <x:v>331</x:v>
      </x:c>
      <x:c r="D21" t="s">
        <x:v>331</x:v>
      </x:c>
      <x:c r="E21" t="s">
        <x:v>324</x:v>
      </x:c>
      <x:c r="L21" s="93" t="str">
        <x:v>Cluster</x:v>
      </x:c>
      <x:c r="M21" s="93" t="str">
        <x:v>3–5 Binaries or Trinaries</x:v>
      </x:c>
      <x:c r="N21" s="93" t="str">
        <x:v>Star Colonel</x:v>
      </x:c>
    </x:row>
    <x:row r="22" ht="30" customHeight="1">
      <x:c r="A22" s="1">
        <x:v>3</x:v>
      </x:c>
      <x:c r="B22" t="s">
        <x:v>333</x:v>
      </x:c>
      <x:c r="C22" t="s">
        <x:v>332</x:v>
      </x:c>
      <x:c r="D22" t="s">
        <x:v>331</x:v>
      </x:c>
      <x:c r="E22" t="s">
        <x:v>331</x:v>
      </x:c>
      <x:c r="L22" s="93" t="str">
        <x:v>Galaxy</x:v>
      </x:c>
      <x:c r="M22" s="93" t="str">
        <x:v>3–5 Clusters</x:v>
      </x:c>
      <x:c r="N22" s="93" t="str">
        <x:v>Galaxy Commander</x:v>
      </x:c>
    </x:row>
    <x:row r="23">
      <x:c r="A23" s="1">
        <x:v>4</x:v>
      </x:c>
      <x:c r="B23" t="s">
        <x:v>334</x:v>
      </x:c>
      <x:c r="C23" t="s">
        <x:v>333</x:v>
      </x:c>
      <x:c r="D23" t="s">
        <x:v>332</x:v>
      </x:c>
      <x:c r="E23" t="s">
        <x:v>331</x:v>
      </x:c>
    </x:row>
    <x:row r="24" ht="32" customHeight="1">
      <x:c r="A24" s="1">
        <x:v>5</x:v>
      </x:c>
      <x:c r="B24" t="s">
        <x:v>334</x:v>
      </x:c>
      <x:c r="C24" t="s">
        <x:v>334</x:v>
      </x:c>
      <x:c r="D24" t="s">
        <x:v>333</x:v>
      </x:c>
      <x:c r="E24" t="s">
        <x:v>332</x:v>
      </x:c>
      <x:c r="L24" s="133" t="str">
        <x:v>Source: user-provided Clan Force Organization Table image. Organizational definitions provide context; FP/BV/PV remain the force limits.</x:v>
      </x:c>
      <x:c r="M24" s="133"/>
      <x:c r="N24" s="133"/>
    </x:row>
    <x:row r="25">
      <x:c r="A25" s="1">
        <x:v>6</x:v>
      </x:c>
      <x:c r="B25" t="s">
        <x:v>334</x:v>
      </x:c>
      <x:c r="C25" t="s">
        <x:v>334</x:v>
      </x:c>
      <x:c r="D25" t="s">
        <x:v>334</x:v>
      </x:c>
      <x:c r="E25" t="s">
        <x:v>333</x:v>
      </x:c>
    </x:row>
  </x:sheetData>
  <x:mergeCells>
    <x:mergeCell ref="L1:R1"/>
    <x:mergeCell ref="L6:R6"/>
    <x:mergeCell ref="L9:N9"/>
    <x:mergeCell ref="L24:N24"/>
  </x:mergeCells>
  <x:pageMargins left="0.7" right="0.7" top="0.75" bottom="0.75" header="0.3" footer="0.3"/>
  <x:tableParts count="7">
    <x:tablePart xmlns:r="http://schemas.openxmlformats.org/officeDocument/2006/relationships" r:id="Reb9c8e041b654af8"/>
    <x:tablePart xmlns:r="http://schemas.openxmlformats.org/officeDocument/2006/relationships" r:id="Rea75ba2f5df149d8"/>
    <x:tablePart xmlns:r="http://schemas.openxmlformats.org/officeDocument/2006/relationships" r:id="Rb2157d064d35454b"/>
    <x:tablePart xmlns:r="http://schemas.openxmlformats.org/officeDocument/2006/relationships" r:id="Rec2659f934764156"/>
    <x:tablePart xmlns:r="http://schemas.openxmlformats.org/officeDocument/2006/relationships" r:id="Rd84fce803e3b428d"/>
    <x:tablePart xmlns:r="http://schemas.openxmlformats.org/officeDocument/2006/relationships" r:id="Rb0b825beef3e49df"/>
    <x:tablePart xmlns:r="http://schemas.openxmlformats.org/officeDocument/2006/relationships" r:id="R6a716597414a4dd2"/>
  </x:tableParts>
</x:worksheet>
</file>

<file path=xl/worksheets/sheet7.xml><?xml version="1.0" encoding="utf-8"?>
<x:worksheet xmlns:x="http://schemas.openxmlformats.org/spreadsheetml/2006/main">
  <x:sheetFormatPr defaultRowHeight="15"/>
  <x:cols>
    <x:col min="2" max="2" width="18.7109375" customWidth="1"/>
    <x:col min="3" max="3" width="22" customWidth="1"/>
    <x:col min="4" max="4" width="20.5703125" customWidth="1"/>
    <x:col min="5" max="5" width="22" customWidth="1"/>
  </x:cols>
  <x:sheetData>
    <x:row r="1" ht="15.75">
      <x:c r="A1" s="47" t="s">
        <x:v>335</x:v>
      </x:c>
      <x:c r="B1" s="3"/>
      <x:c r="C1" s="3"/>
      <x:c r="D1" s="3"/>
    </x:row>
    <x:row r="2">
      <x:c r="A2" t="s">
        <x:v>20</x:v>
      </x:c>
      <x:c r="B2" t="s">
        <x:v>336</x:v>
      </x:c>
      <x:c r="C2" t="s">
        <x:v>337</x:v>
      </x:c>
      <x:c r="D2" t="s">
        <x:v>338</x:v>
      </x:c>
    </x:row>
    <x:row r="3">
      <x:c r="A3">
        <x:v>2</x:v>
      </x:c>
      <x:c r="B3" s="45" t="s">
        <x:v>339</x:v>
      </x:c>
      <x:c r="C3" s="45" t="s">
        <x:v>339</x:v>
      </x:c>
      <x:c r="D3" s="45" t="s">
        <x:v>340</x:v>
      </x:c>
    </x:row>
    <x:row r="4">
      <x:c r="A4">
        <x:v>3</x:v>
      </x:c>
      <x:c r="B4" s="45" t="s">
        <x:v>74</x:v>
      </x:c>
      <x:c r="C4" s="45" t="s">
        <x:v>74</x:v>
      </x:c>
      <x:c r="D4" s="45" t="s">
        <x:v>341</x:v>
      </x:c>
    </x:row>
    <x:row r="5">
      <x:c r="A5">
        <x:v>4</x:v>
      </x:c>
      <x:c r="B5" s="45" t="s">
        <x:v>342</x:v>
      </x:c>
      <x:c r="C5" s="45" t="s">
        <x:v>342</x:v>
      </x:c>
      <x:c r="D5" s="45" t="s">
        <x:v>343</x:v>
      </x:c>
    </x:row>
    <x:row r="6">
      <x:c r="A6">
        <x:v>5</x:v>
      </x:c>
      <x:c r="B6" s="45" t="s">
        <x:v>344</x:v>
      </x:c>
      <x:c r="C6" s="45" t="s">
        <x:v>344</x:v>
      </x:c>
      <x:c r="D6" s="45" t="s">
        <x:v>345</x:v>
      </x:c>
    </x:row>
    <x:row r="7">
      <x:c r="A7">
        <x:v>6</x:v>
      </x:c>
      <x:c r="B7" s="45" t="s">
        <x:v>346</x:v>
      </x:c>
      <x:c r="C7" s="45" t="s">
        <x:v>346</x:v>
      </x:c>
      <x:c r="D7" s="45" t="s">
        <x:v>347</x:v>
      </x:c>
    </x:row>
    <x:row r="8">
      <x:c r="A8">
        <x:v>7</x:v>
      </x:c>
      <x:c r="B8" s="45" t="s">
        <x:v>348</x:v>
      </x:c>
      <x:c r="C8" s="45" t="s">
        <x:v>348</x:v>
      </x:c>
      <x:c r="D8" s="45" t="s">
        <x:v>76</x:v>
      </x:c>
    </x:row>
    <x:row r="9">
      <x:c r="A9">
        <x:v>8</x:v>
      </x:c>
      <x:c r="B9" s="45" t="s">
        <x:v>349</x:v>
      </x:c>
      <x:c r="C9" s="45" t="s">
        <x:v>349</x:v>
      </x:c>
      <x:c r="D9" s="45" t="s">
        <x:v>350</x:v>
      </x:c>
    </x:row>
    <x:row r="10">
      <x:c r="A10">
        <x:v>9</x:v>
      </x:c>
      <x:c r="B10" s="45" t="s">
        <x:v>342</x:v>
      </x:c>
      <x:c r="C10" s="45" t="s">
        <x:v>342</x:v>
      </x:c>
      <x:c r="D10" s="45" t="s">
        <x:v>348</x:v>
      </x:c>
    </x:row>
    <x:row r="11">
      <x:c r="A11">
        <x:v>10</x:v>
      </x:c>
      <x:c r="B11" s="45" t="s">
        <x:v>351</x:v>
      </x:c>
      <x:c r="C11" s="45" t="s">
        <x:v>351</x:v>
      </x:c>
      <x:c r="D11" s="45" t="s">
        <x:v>346</x:v>
      </x:c>
    </x:row>
    <x:row r="12">
      <x:c r="A12">
        <x:v>11</x:v>
      </x:c>
      <x:c r="B12" s="45" t="s">
        <x:v>352</x:v>
      </x:c>
      <x:c r="C12" s="45" t="s">
        <x:v>352</x:v>
      </x:c>
      <x:c r="D12" s="45" t="s">
        <x:v>353</x:v>
      </x:c>
    </x:row>
    <x:row r="13">
      <x:c r="A13">
        <x:v>12</x:v>
      </x:c>
      <x:c r="B13" s="45" t="s">
        <x:v>354</x:v>
      </x:c>
      <x:c r="C13" s="45" t="s">
        <x:v>354</x:v>
      </x:c>
      <x:c r="D13" s="45" t="s">
        <x:v>355</x:v>
      </x:c>
    </x:row>
    <x:row r="15" ht="15.75">
      <x:c r="A15" s="48" t="s">
        <x:v>356</x:v>
      </x:c>
    </x:row>
    <x:row r="16">
      <x:c r="A16" t="s">
        <x:v>20</x:v>
      </x:c>
      <x:c r="B16" s="46" t="s">
        <x:v>357</x:v>
      </x:c>
      <x:c r="C16" s="46" t="s">
        <x:v>336</x:v>
      </x:c>
      <x:c r="D16" t="s">
        <x:v>337</x:v>
      </x:c>
      <x:c r="E16" t="s">
        <x:v>338</x:v>
      </x:c>
    </x:row>
    <x:row r="17">
      <x:c r="A17">
        <x:v>2</x:v>
      </x:c>
      <x:c r="B17" s="45" t="s">
        <x:v>358</x:v>
      </x:c>
      <x:c r="C17" s="45" t="s">
        <x:v>359</x:v>
      </x:c>
      <x:c r="D17" s="45" t="s">
        <x:v>360</x:v>
      </x:c>
      <x:c r="E17" s="45" t="s">
        <x:v>361</x:v>
      </x:c>
    </x:row>
    <x:row r="18">
      <x:c r="A18">
        <x:v>3</x:v>
      </x:c>
      <x:c r="B18" s="45" t="s">
        <x:v>362</x:v>
      </x:c>
      <x:c r="C18" s="45" t="s">
        <x:v>363</x:v>
      </x:c>
      <x:c r="D18" s="45" t="s">
        <x:v>364</x:v>
      </x:c>
      <x:c r="E18" s="45" t="s">
        <x:v>362</x:v>
      </x:c>
    </x:row>
    <x:row r="19">
      <x:c r="A19">
        <x:v>4</x:v>
      </x:c>
      <x:c r="B19" s="45" t="s">
        <x:v>365</x:v>
      </x:c>
      <x:c r="C19" s="45" t="s">
        <x:v>366</x:v>
      </x:c>
      <x:c r="D19" s="45" t="s">
        <x:v>367</x:v>
      </x:c>
      <x:c r="E19" s="45" t="s">
        <x:v>368</x:v>
      </x:c>
    </x:row>
    <x:row r="20">
      <x:c r="A20">
        <x:v>5</x:v>
      </x:c>
      <x:c r="B20" s="45" t="s">
        <x:v>369</x:v>
      </x:c>
      <x:c r="C20" s="45" t="s">
        <x:v>370</x:v>
      </x:c>
      <x:c r="D20" s="45" t="s">
        <x:v>371</x:v>
      </x:c>
      <x:c r="E20" s="45" t="s">
        <x:v>372</x:v>
      </x:c>
    </x:row>
    <x:row r="21">
      <x:c r="A21">
        <x:v>6</x:v>
      </x:c>
      <x:c r="B21" s="45" t="s">
        <x:v>373</x:v>
      </x:c>
      <x:c r="C21" s="45" t="s">
        <x:v>374</x:v>
      </x:c>
      <x:c r="D21" s="45" t="s">
        <x:v>374</x:v>
      </x:c>
      <x:c r="E21" s="45" t="s">
        <x:v>375</x:v>
      </x:c>
    </x:row>
    <x:row r="22">
      <x:c r="A22">
        <x:v>7</x:v>
      </x:c>
      <x:c r="B22" s="45" t="s">
        <x:v>376</x:v>
      </x:c>
      <x:c r="C22" s="45" t="s">
        <x:v>376</x:v>
      </x:c>
      <x:c r="D22" s="45" t="s">
        <x:v>377</x:v>
      </x:c>
      <x:c r="E22" s="45" t="s">
        <x:v>374</x:v>
      </x:c>
    </x:row>
    <x:row r="23">
      <x:c r="A23">
        <x:v>8</x:v>
      </x:c>
      <x:c r="B23" s="45" t="s">
        <x:v>358</x:v>
      </x:c>
      <x:c r="C23" s="45" t="s">
        <x:v>370</x:v>
      </x:c>
      <x:c r="D23" s="45" t="s">
        <x:v>378</x:v>
      </x:c>
      <x:c r="E23" s="45" t="s">
        <x:v>359</x:v>
      </x:c>
    </x:row>
    <x:row r="24">
      <x:c r="A24">
        <x:v>9</x:v>
      </x:c>
      <x:c r="B24" s="45" t="s">
        <x:v>374</x:v>
      </x:c>
      <x:c r="C24" s="45" t="s">
        <x:v>375</x:v>
      </x:c>
      <x:c r="D24" s="45" t="s">
        <x:v>379</x:v>
      </x:c>
      <x:c r="E24" s="45" t="s">
        <x:v>380</x:v>
      </x:c>
    </x:row>
    <x:row r="25">
      <x:c r="A25">
        <x:v>10</x:v>
      </x:c>
      <x:c r="B25" s="45" t="s">
        <x:v>381</x:v>
      </x:c>
      <x:c r="C25" s="45" t="s">
        <x:v>368</x:v>
      </x:c>
      <x:c r="D25" s="45" t="s">
        <x:v>382</x:v>
      </x:c>
      <x:c r="E25" s="45" t="s">
        <x:v>370</x:v>
      </x:c>
    </x:row>
    <x:row r="26">
      <x:c r="A26">
        <x:v>11</x:v>
      </x:c>
      <x:c r="B26" s="45" t="s">
        <x:v>363</x:v>
      </x:c>
      <x:c r="C26" s="45" t="s">
        <x:v>383</x:v>
      </x:c>
      <x:c r="D26" s="45" t="s">
        <x:v>384</x:v>
      </x:c>
      <x:c r="E26" s="45" t="s">
        <x:v>385</x:v>
      </x:c>
    </x:row>
    <x:row r="27">
      <x:c r="A27">
        <x:v>12</x:v>
      </x:c>
      <x:c r="B27" s="45" t="s">
        <x:v>156</x:v>
      </x:c>
      <x:c r="C27" s="45" t="s">
        <x:v>150</x:v>
      </x:c>
      <x:c r="D27" s="45" t="s">
        <x:v>156</x:v>
      </x:c>
      <x:c r="E27" s="45" t="s">
        <x:v>386</x:v>
      </x:c>
    </x:row>
    <x:row r="29" ht="15.75">
      <x:c r="A29" s="48" t="s">
        <x:v>387</x:v>
      </x:c>
    </x:row>
    <x:row r="30">
      <x:c r="A30" t="s">
        <x:v>20</x:v>
      </x:c>
      <x:c r="B30" s="46" t="s">
        <x:v>357</x:v>
      </x:c>
      <x:c r="C30" s="46" t="s">
        <x:v>336</x:v>
      </x:c>
      <x:c r="D30" t="s">
        <x:v>337</x:v>
      </x:c>
      <x:c r="E30" t="s">
        <x:v>338</x:v>
      </x:c>
    </x:row>
    <x:row r="31">
      <x:c r="A31">
        <x:v>2</x:v>
      </x:c>
      <x:c r="B31" s="45" t="s">
        <x:v>388</x:v>
      </x:c>
      <x:c r="C31" s="45" t="s">
        <x:v>389</x:v>
      </x:c>
      <x:c r="D31" s="45" t="s">
        <x:v>390</x:v>
      </x:c>
      <x:c r="E31" s="45" t="s">
        <x:v>391</x:v>
      </x:c>
    </x:row>
    <x:row r="32">
      <x:c r="A32">
        <x:v>3</x:v>
      </x:c>
      <x:c r="B32" s="45" t="s">
        <x:v>392</x:v>
      </x:c>
      <x:c r="C32" s="45" t="s">
        <x:v>393</x:v>
      </x:c>
      <x:c r="D32" s="45" t="s">
        <x:v>394</x:v>
      </x:c>
      <x:c r="E32" s="45" t="s">
        <x:v>395</x:v>
      </x:c>
    </x:row>
    <x:row r="33">
      <x:c r="A33">
        <x:v>4</x:v>
      </x:c>
      <x:c r="B33" s="45" t="s">
        <x:v>396</x:v>
      </x:c>
      <x:c r="C33" s="45" t="s">
        <x:v>397</x:v>
      </x:c>
      <x:c r="D33" s="45" t="s">
        <x:v>398</x:v>
      </x:c>
      <x:c r="E33" s="45" t="s">
        <x:v>399</x:v>
      </x:c>
    </x:row>
    <x:row r="34">
      <x:c r="A34">
        <x:v>5</x:v>
      </x:c>
      <x:c r="B34" s="45" t="s">
        <x:v>393</x:v>
      </x:c>
      <x:c r="C34" s="45" t="s">
        <x:v>398</x:v>
      </x:c>
      <x:c r="D34" s="45" t="s">
        <x:v>400</x:v>
      </x:c>
      <x:c r="E34" s="45" t="s">
        <x:v>243</x:v>
      </x:c>
    </x:row>
    <x:row r="35">
      <x:c r="A35">
        <x:v>6</x:v>
      </x:c>
      <x:c r="B35" s="45" t="s">
        <x:v>401</x:v>
      </x:c>
      <x:c r="C35" s="45" t="s">
        <x:v>402</x:v>
      </x:c>
      <x:c r="D35" s="45" t="s">
        <x:v>403</x:v>
      </x:c>
      <x:c r="E35" s="45" t="s">
        <x:v>245</x:v>
      </x:c>
    </x:row>
    <x:row r="36">
      <x:c r="A36">
        <x:v>7</x:v>
      </x:c>
      <x:c r="B36" s="45" t="s">
        <x:v>404</x:v>
      </x:c>
      <x:c r="C36" s="45" t="s">
        <x:v>405</x:v>
      </x:c>
      <x:c r="D36" s="45" t="s">
        <x:v>406</x:v>
      </x:c>
      <x:c r="E36" s="45" t="s">
        <x:v>407</x:v>
      </x:c>
    </x:row>
    <x:row r="37">
      <x:c r="A37">
        <x:v>8</x:v>
      </x:c>
      <x:c r="B37" s="45" t="s">
        <x:v>408</x:v>
      </x:c>
      <x:c r="C37" s="45" t="s">
        <x:v>409</x:v>
      </x:c>
      <x:c r="D37" s="45" t="s">
        <x:v>410</x:v>
      </x:c>
      <x:c r="E37" s="45" t="s">
        <x:v>393</x:v>
      </x:c>
    </x:row>
    <x:row r="38">
      <x:c r="A38">
        <x:v>9</x:v>
      </x:c>
      <x:c r="B38" s="45" t="s">
        <x:v>411</x:v>
      </x:c>
      <x:c r="C38" s="45" t="s">
        <x:v>220</x:v>
      </x:c>
      <x:c r="D38" s="45" t="s">
        <x:v>397</x:v>
      </x:c>
      <x:c r="E38" s="45" t="s">
        <x:v>388</x:v>
      </x:c>
    </x:row>
    <x:row r="39">
      <x:c r="A39">
        <x:v>10</x:v>
      </x:c>
      <x:c r="B39" s="45" t="s">
        <x:v>409</x:v>
      </x:c>
      <x:c r="C39" s="45" t="s">
        <x:v>411</x:v>
      </x:c>
      <x:c r="D39" s="45" t="s">
        <x:v>412</x:v>
      </x:c>
      <x:c r="E39" s="45" t="s">
        <x:v>413</x:v>
      </x:c>
    </x:row>
    <x:row r="40">
      <x:c r="A40">
        <x:v>11</x:v>
      </x:c>
      <x:c r="B40" s="45" t="s">
        <x:v>218</x:v>
      </x:c>
      <x:c r="C40" s="45" t="s">
        <x:v>414</x:v>
      </x:c>
      <x:c r="D40" s="45" t="s">
        <x:v>415</x:v>
      </x:c>
      <x:c r="E40" s="45" t="s">
        <x:v>416</x:v>
      </x:c>
    </x:row>
    <x:row r="41">
      <x:c r="A41">
        <x:v>12</x:v>
      </x:c>
      <x:c r="B41" s="45" t="s">
        <x:v>241</x:v>
      </x:c>
      <x:c r="C41" s="45" t="s">
        <x:v>417</x:v>
      </x:c>
      <x:c r="D41" s="45" t="s">
        <x:v>418</x:v>
      </x:c>
      <x:c r="E41" s="45" t="s">
        <x:v>419</x:v>
      </x:c>
    </x:row>
    <x:row r="43" ht="15.75">
      <x:c r="A43" s="48" t="s">
        <x:v>420</x:v>
      </x:c>
    </x:row>
    <x:row r="44">
      <x:c r="A44" t="s">
        <x:v>20</x:v>
      </x:c>
      <x:c r="B44" s="46" t="s">
        <x:v>357</x:v>
      </x:c>
      <x:c r="C44" s="46" t="s">
        <x:v>336</x:v>
      </x:c>
      <x:c r="D44" t="s">
        <x:v>337</x:v>
      </x:c>
      <x:c r="E44" t="s">
        <x:v>338</x:v>
      </x:c>
    </x:row>
    <x:row r="45">
      <x:c r="A45">
        <x:v>2</x:v>
      </x:c>
      <x:c r="B45" s="45" t="s">
        <x:v>421</x:v>
      </x:c>
      <x:c r="C45" s="45" t="s">
        <x:v>422</x:v>
      </x:c>
      <x:c r="D45" s="45" t="s">
        <x:v>421</x:v>
      </x:c>
      <x:c r="E45" s="45" t="s">
        <x:v>423</x:v>
      </x:c>
    </x:row>
    <x:row r="46">
      <x:c r="A46">
        <x:v>3</x:v>
      </x:c>
      <x:c r="B46" s="45" t="s">
        <x:v>424</x:v>
      </x:c>
      <x:c r="C46" s="45" t="s">
        <x:v>425</x:v>
      </x:c>
      <x:c r="D46" s="45" t="s">
        <x:v>426</x:v>
      </x:c>
      <x:c r="E46" s="45" t="s">
        <x:v>427</x:v>
      </x:c>
    </x:row>
    <x:row r="47">
      <x:c r="A47">
        <x:v>4</x:v>
      </x:c>
      <x:c r="B47" s="45" t="s">
        <x:v>428</x:v>
      </x:c>
      <x:c r="C47" s="45" t="s">
        <x:v>429</x:v>
      </x:c>
      <x:c r="D47" s="45" t="s">
        <x:v>430</x:v>
      </x:c>
      <x:c r="E47" s="45" t="s">
        <x:v>431</x:v>
      </x:c>
    </x:row>
    <x:row r="48">
      <x:c r="A48">
        <x:v>5</x:v>
      </x:c>
      <x:c r="B48" s="45" t="s">
        <x:v>429</x:v>
      </x:c>
      <x:c r="C48" s="45" t="s">
        <x:v>432</x:v>
      </x:c>
      <x:c r="D48" s="45" t="s">
        <x:v>433</x:v>
      </x:c>
      <x:c r="E48" s="45" t="s">
        <x:v>434</x:v>
      </x:c>
    </x:row>
    <x:row r="49">
      <x:c r="A49">
        <x:v>6</x:v>
      </x:c>
      <x:c r="B49" s="45" t="s">
        <x:v>430</x:v>
      </x:c>
      <x:c r="C49" s="45" t="s">
        <x:v>424</x:v>
      </x:c>
      <x:c r="D49" s="45" t="s">
        <x:v>435</x:v>
      </x:c>
      <x:c r="E49" s="45" t="s">
        <x:v>429</x:v>
      </x:c>
    </x:row>
    <x:row r="50">
      <x:c r="A50">
        <x:v>7</x:v>
      </x:c>
      <x:c r="B50" s="45" t="s">
        <x:v>436</x:v>
      </x:c>
      <x:c r="C50" s="45" t="s">
        <x:v>437</x:v>
      </x:c>
      <x:c r="D50" s="45" t="s">
        <x:v>437</x:v>
      </x:c>
      <x:c r="E50" s="45" t="s">
        <x:v>438</x:v>
      </x:c>
    </x:row>
    <x:row r="51">
      <x:c r="A51">
        <x:v>8</x:v>
      </x:c>
      <x:c r="B51" s="45" t="s">
        <x:v>439</x:v>
      </x:c>
      <x:c r="C51" s="45" t="s">
        <x:v>438</x:v>
      </x:c>
      <x:c r="D51" s="45" t="s">
        <x:v>428</x:v>
      </x:c>
      <x:c r="E51" s="45" t="s">
        <x:v>433</x:v>
      </x:c>
    </x:row>
    <x:row r="52">
      <x:c r="A52">
        <x:v>9</x:v>
      </x:c>
      <x:c r="B52" s="45" t="s">
        <x:v>424</x:v>
      </x:c>
      <x:c r="C52" s="45" t="s">
        <x:v>428</x:v>
      </x:c>
      <x:c r="D52" s="45" t="s">
        <x:v>440</x:v>
      </x:c>
      <x:c r="E52" s="45" t="s">
        <x:v>424</x:v>
      </x:c>
    </x:row>
    <x:row r="53">
      <x:c r="A53">
        <x:v>10</x:v>
      </x:c>
      <x:c r="B53" s="45" t="s">
        <x:v>433</x:v>
      </x:c>
      <x:c r="C53" s="45" t="s">
        <x:v>431</x:v>
      </x:c>
      <x:c r="D53" s="45" t="s">
        <x:v>439</x:v>
      </x:c>
      <x:c r="E53" s="45" t="s">
        <x:v>428</x:v>
      </x:c>
    </x:row>
    <x:row r="54">
      <x:c r="A54">
        <x:v>11</x:v>
      </x:c>
      <x:c r="B54" s="45" t="s">
        <x:v>440</x:v>
      </x:c>
      <x:c r="C54" s="45" t="s">
        <x:v>439</x:v>
      </x:c>
      <x:c r="D54" s="45" t="s">
        <x:v>432</x:v>
      </x:c>
      <x:c r="E54" s="45" t="s">
        <x:v>437</x:v>
      </x:c>
    </x:row>
    <x:row r="55">
      <x:c r="A55">
        <x:v>12</x:v>
      </x:c>
      <x:c r="B55" s="45" t="s">
        <x:v>432</x:v>
      </x:c>
      <x:c r="C55" s="45" t="s">
        <x:v>441</x:v>
      </x:c>
      <x:c r="D55" s="45" t="s">
        <x:v>442</x:v>
      </x:c>
      <x:c r="E55" s="45" t="s">
        <x:v>443</x:v>
      </x:c>
    </x:row>
  </x:sheetData>
  <x:pageMargins left="0.7" right="0.7" top="0.75" bottom="0.75" header="0.3" footer="0.3"/>
  <x:tableParts count="4">
    <x:tablePart xmlns:r="http://schemas.openxmlformats.org/officeDocument/2006/relationships" r:id="R372dc0e48fc14027"/>
    <x:tablePart xmlns:r="http://schemas.openxmlformats.org/officeDocument/2006/relationships" r:id="Rbd8fe4ec082a4e49"/>
    <x:tablePart xmlns:r="http://schemas.openxmlformats.org/officeDocument/2006/relationships" r:id="R2b835b7bce494bf9"/>
    <x:tablePart xmlns:r="http://schemas.openxmlformats.org/officeDocument/2006/relationships" r:id="Rfebb2abfc787410a"/>
  </x:tableParts>
</x:worksheet>
</file>

<file path=xl/worksheets/sheet8.xml><?xml version="1.0" encoding="utf-8"?>
<x:worksheet xmlns:x="http://schemas.openxmlformats.org/spreadsheetml/2006/main">
  <x:sheetFormatPr defaultRowHeight="15"/>
  <x:cols>
    <x:col min="2" max="2" width="22.28515625" customWidth="1"/>
    <x:col min="3" max="3" width="15.140625" customWidth="1"/>
    <x:col min="5" max="5" width="23.140625" customWidth="1"/>
    <x:col min="6" max="6" width="28.5703125" customWidth="1"/>
    <x:col min="7" max="7" width="22.42578125" customWidth="1"/>
    <x:col min="9" max="9" width="11.85546875" customWidth="1"/>
    <x:col min="11" max="11" width="16.85546875" customWidth="1"/>
    <x:col min="12" max="12" width="9.85546875" customWidth="1"/>
    <x:col min="13" max="13" width="12.42578125" customWidth="1"/>
    <x:col min="15" max="15" width="6.5703125" customWidth="1"/>
    <x:col min="16" max="19" width="26.7109375" customWidth="1"/>
  </x:cols>
  <x:sheetData>
    <x:row r="2" ht="15.75">
      <x:c r="I2" s="14" t="s">
        <x:v>444</x:v>
      </x:c>
      <x:c r="J2" s="3"/>
      <x:c r="K2" s="3"/>
      <x:c r="L2" s="3"/>
      <x:c r="M2" s="3"/>
    </x:row>
    <x:row r="3" ht="15.75">
      <x:c r="B3" s="14" t="s">
        <x:v>445</x:v>
      </x:c>
      <x:c r="C3" s="3"/>
      <x:c r="E3" s="14" t="s">
        <x:v>446</x:v>
      </x:c>
      <x:c r="F3" s="15"/>
      <x:c r="G3" s="3"/>
      <x:c r="I3" s="17"/>
      <x:c r="J3" s="18" t="s">
        <x:v>447</x:v>
      </x:c>
      <x:c r="K3" s="18"/>
      <x:c r="L3" s="18"/>
      <x:c r="M3" s="18"/>
    </x:row>
    <x:row r="4" ht="30">
      <x:c r="B4" s="1" t="s">
        <x:v>448</x:v>
      </x:c>
      <x:c r="C4" s="1" t="s">
        <x:v>449</x:v>
      </x:c>
      <x:c r="E4" s="1" t="s">
        <x:v>450</x:v>
      </x:c>
      <x:c r="F4" s="11" t="s">
        <x:v>451</x:v>
      </x:c>
      <x:c r="G4" s="1" t="s">
        <x:v>452</x:v>
      </x:c>
      <x:c r="I4" s="12" t="s">
        <x:v>453</x:v>
      </x:c>
      <x:c r="J4" s="11" t="s">
        <x:v>454</x:v>
      </x:c>
      <x:c r="K4" s="1" t="s">
        <x:v>455</x:v>
      </x:c>
      <x:c r="L4" s="1" t="s">
        <x:v>456</x:v>
      </x:c>
      <x:c r="M4" s="1" t="s">
        <x:v>457</x:v>
      </x:c>
      <x:c r="O4" s="18" t="s">
        <x:v>458</x:v>
      </x:c>
      <x:c r="P4" s="18"/>
    </x:row>
    <x:row r="5">
      <x:c r="B5" s="13" t="s">
        <x:v>459</x:v>
      </x:c>
      <x:c r="C5" s="13" t="s">
        <x:v>460</x:v>
      </x:c>
      <x:c r="E5" s="13" t="s">
        <x:v>461</x:v>
      </x:c>
      <x:c r="F5" s="13" t="s">
        <x:v>462</x:v>
      </x:c>
      <x:c r="G5" s="13" t="s">
        <x:v>463</x:v>
      </x:c>
      <x:c r="I5" s="16" t="s">
        <x:v>460</x:v>
      </x:c>
      <x:c r="J5" s="13">
        <x:v>28</x:v>
      </x:c>
      <x:c r="K5" s="13">
        <x:v>1</x:v>
      </x:c>
      <x:c r="L5" s="13">
        <x:v>1</x:v>
      </x:c>
      <x:c r="M5" s="13">
        <x:v>6</x:v>
      </x:c>
      <x:c r="O5" s="49" t="s">
        <x:v>464</x:v>
      </x:c>
      <x:c r="P5" t="s">
        <x:v>465</x:v>
      </x:c>
    </x:row>
    <x:row r="6">
      <x:c r="B6" s="13" t="s">
        <x:v>466</x:v>
      </x:c>
      <x:c r="C6" s="13" t="s">
        <x:v>467</x:v>
      </x:c>
      <x:c r="E6" s="13" t="s">
        <x:v>468</x:v>
      </x:c>
      <x:c r="F6" s="13" t="s">
        <x:v>469</x:v>
      </x:c>
      <x:c r="G6" s="13" t="s">
        <x:v>470</x:v>
      </x:c>
      <x:c r="I6" s="16" t="s">
        <x:v>471</x:v>
      </x:c>
      <x:c r="J6" s="13">
        <x:v>27</x:v>
      </x:c>
      <x:c r="K6" s="13">
        <x:v>1</x:v>
      </x:c>
      <x:c r="L6" s="13">
        <x:v>2</x:v>
      </x:c>
      <x:c r="M6" s="13">
        <x:v>6</x:v>
      </x:c>
      <x:c r="O6" s="50">
        <x:v>1</x:v>
      </x:c>
      <x:c r="P6" t="s">
        <x:v>317</x:v>
      </x:c>
    </x:row>
    <x:row r="7">
      <x:c r="B7" s="13" t="s">
        <x:v>456</x:v>
      </x:c>
      <x:c r="C7" s="13" t="s">
        <x:v>472</x:v>
      </x:c>
      <x:c r="E7" s="13" t="s">
        <x:v>473</x:v>
      </x:c>
      <x:c r="F7" s="13" t="s">
        <x:v>474</x:v>
      </x:c>
      <x:c r="G7" s="13" t="s">
        <x:v>463</x:v>
      </x:c>
      <x:c r="I7" s="16" t="s">
        <x:v>475</x:v>
      </x:c>
      <x:c r="J7" s="13">
        <x:v>26</x:v>
      </x:c>
      <x:c r="K7" s="13">
        <x:v>1</x:v>
      </x:c>
      <x:c r="L7" s="13">
        <x:v>3</x:v>
      </x:c>
      <x:c r="M7" s="13">
        <x:v>6</x:v>
      </x:c>
      <x:c r="O7" s="51">
        <x:v>2</x:v>
      </x:c>
      <x:c r="P7" t="s">
        <x:v>319</x:v>
      </x:c>
    </x:row>
    <x:row r="8">
      <x:c r="B8" s="1" t="s">
        <x:v>476</x:v>
      </x:c>
      <x:c r="C8" s="1" t="s">
        <x:v>477</x:v>
      </x:c>
      <x:c r="E8" s="13" t="s">
        <x:v>478</x:v>
      </x:c>
      <x:c r="F8" s="13" t="s">
        <x:v>479</x:v>
      </x:c>
      <x:c r="G8" s="13" t="s">
        <x:v>470</x:v>
      </x:c>
      <x:c r="I8" s="16" t="s">
        <x:v>480</x:v>
      </x:c>
      <x:c r="J8" s="13">
        <x:v>25</x:v>
      </x:c>
      <x:c r="K8" s="13">
        <x:v>2</x:v>
      </x:c>
      <x:c r="L8" s="13">
        <x:v>3</x:v>
      </x:c>
      <x:c r="M8" s="13">
        <x:v>6</x:v>
      </x:c>
      <x:c r="O8" s="50">
        <x:v>3</x:v>
      </x:c>
      <x:c r="P8" t="s">
        <x:v>319</x:v>
      </x:c>
    </x:row>
    <x:row r="9">
      <x:c r="E9" s="13" t="s">
        <x:v>481</x:v>
      </x:c>
      <x:c r="F9" s="13" t="s">
        <x:v>482</x:v>
      </x:c>
      <x:c r="G9" s="13" t="s">
        <x:v>463</x:v>
      </x:c>
      <x:c r="I9" s="16" t="s">
        <x:v>467</x:v>
      </x:c>
      <x:c r="J9" s="13">
        <x:v>24</x:v>
      </x:c>
      <x:c r="K9" s="13">
        <x:v>2</x:v>
      </x:c>
      <x:c r="L9" s="13">
        <x:v>4</x:v>
      </x:c>
      <x:c r="M9" s="13">
        <x:v>6</x:v>
      </x:c>
      <x:c r="O9" s="51">
        <x:v>4</x:v>
      </x:c>
      <x:c r="P9" t="s">
        <x:v>318</x:v>
      </x:c>
    </x:row>
    <x:row r="10">
      <x:c r="E10" s="13" t="s">
        <x:v>483</x:v>
      </x:c>
      <x:c r="F10" s="13" t="s">
        <x:v>484</x:v>
      </x:c>
      <x:c r="G10" s="13" t="s">
        <x:v>485</x:v>
      </x:c>
      <x:c r="I10" s="16" t="s">
        <x:v>486</x:v>
      </x:c>
      <x:c r="J10" s="13">
        <x:v>23</x:v>
      </x:c>
      <x:c r="K10" s="13">
        <x:v>2</x:v>
      </x:c>
      <x:c r="L10" s="13">
        <x:v>5</x:v>
      </x:c>
      <x:c r="M10" s="13">
        <x:v>6</x:v>
      </x:c>
      <x:c r="O10" s="50">
        <x:v>5</x:v>
      </x:c>
      <x:c r="P10" t="s">
        <x:v>318</x:v>
      </x:c>
    </x:row>
    <x:row r="11">
      <x:c r="E11" s="13" t="s">
        <x:v>487</x:v>
      </x:c>
      <x:c r="F11" s="13" t="s">
        <x:v>488</x:v>
      </x:c>
      <x:c r="G11" s="13" t="s">
        <x:v>489</x:v>
      </x:c>
      <x:c r="I11" s="16" t="s">
        <x:v>490</x:v>
      </x:c>
      <x:c r="J11" s="13">
        <x:v>21</x:v>
      </x:c>
      <x:c r="K11" s="13">
        <x:v>3</x:v>
      </x:c>
      <x:c r="L11" s="13">
        <x:v>6</x:v>
      </x:c>
      <x:c r="M11" s="13">
        <x:v>6</x:v>
      </x:c>
      <x:c r="O11" s="51">
        <x:v>6</x:v>
      </x:c>
      <x:c r="P11" t="s">
        <x:v>324</x:v>
      </x:c>
    </x:row>
    <x:row r="12">
      <x:c r="E12" s="13" t="s">
        <x:v>491</x:v>
      </x:c>
      <x:c r="F12" s="13" t="s">
        <x:v>492</x:v>
      </x:c>
      <x:c r="G12" s="13" t="s">
        <x:v>489</x:v>
      </x:c>
      <x:c r="I12" s="16" t="s">
        <x:v>493</x:v>
      </x:c>
      <x:c r="J12" s="13">
        <x:v>20</x:v>
      </x:c>
      <x:c r="K12" s="13">
        <x:v>3</x:v>
      </x:c>
      <x:c r="L12" s="13">
        <x:v>7</x:v>
      </x:c>
      <x:c r="M12" s="13">
        <x:v>6</x:v>
      </x:c>
    </x:row>
    <x:row r="13">
      <x:c r="E13" s="13" t="s">
        <x:v>494</x:v>
      </x:c>
      <x:c r="F13" s="13" t="s">
        <x:v>495</x:v>
      </x:c>
      <x:c r="G13" s="13" t="s">
        <x:v>496</x:v>
      </x:c>
      <x:c r="I13" s="16" t="s">
        <x:v>472</x:v>
      </x:c>
      <x:c r="J13" s="13">
        <x:v>19</x:v>
      </x:c>
      <x:c r="K13" s="13">
        <x:v>4</x:v>
      </x:c>
      <x:c r="L13" s="13">
        <x:v>7</x:v>
      </x:c>
      <x:c r="M13" s="13">
        <x:v>6</x:v>
      </x:c>
      <x:c r="O13" s="18" t="s">
        <x:v>497</x:v>
      </x:c>
      <x:c r="P13" s="18"/>
      <x:c r="Q13" s="18"/>
      <x:c r="R13" s="18"/>
      <x:c r="S13" s="18"/>
    </x:row>
    <x:row r="14">
      <x:c r="I14" s="16" t="s">
        <x:v>498</x:v>
      </x:c>
      <x:c r="J14" s="13">
        <x:v>18</x:v>
      </x:c>
      <x:c r="K14" s="13">
        <x:v>4</x:v>
      </x:c>
      <x:c r="L14" s="13">
        <x:v>8</x:v>
      </x:c>
      <x:c r="M14" s="13">
        <x:v>6</x:v>
      </x:c>
      <x:c r="O14" s="1" t="s">
        <x:v>464</x:v>
      </x:c>
      <x:c r="P14" t="s">
        <x:v>499</x:v>
      </x:c>
      <x:c r="Q14" t="s">
        <x:v>500</x:v>
      </x:c>
      <x:c r="R14" t="s">
        <x:v>501</x:v>
      </x:c>
      <x:c r="S14" t="s">
        <x:v>357</x:v>
      </x:c>
    </x:row>
    <x:row r="15">
      <x:c r="I15" s="16" t="s">
        <x:v>502</x:v>
      </x:c>
      <x:c r="J15" s="13">
        <x:v>17</x:v>
      </x:c>
      <x:c r="K15" s="13">
        <x:v>4</x:v>
      </x:c>
      <x:c r="L15" s="13">
        <x:v>9</x:v>
      </x:c>
      <x:c r="M15" s="13">
        <x:v>6</x:v>
      </x:c>
      <x:c r="O15" s="1">
        <x:v>1</x:v>
      </x:c>
      <x:c r="P15" t="s">
        <x:v>503</x:v>
      </x:c>
      <x:c r="Q15" t="s">
        <x:v>504</x:v>
      </x:c>
      <x:c r="R15" t="s">
        <x:v>505</x:v>
      </x:c>
      <x:c r="S15" t="s">
        <x:v>506</x:v>
      </x:c>
    </x:row>
    <x:row r="16">
      <x:c r="I16" s="16" t="s">
        <x:v>507</x:v>
      </x:c>
      <x:c r="J16" s="13">
        <x:v>16</x:v>
      </x:c>
      <x:c r="K16" s="13">
        <x:v>5</x:v>
      </x:c>
      <x:c r="L16" s="13">
        <x:v>9</x:v>
      </x:c>
      <x:c r="M16" s="13">
        <x:v>6</x:v>
      </x:c>
      <x:c r="O16" s="1">
        <x:v>2</x:v>
      </x:c>
      <x:c r="P16" t="s">
        <x:v>508</x:v>
      </x:c>
      <x:c r="Q16" t="s">
        <x:v>509</x:v>
      </x:c>
      <x:c r="R16" t="s">
        <x:v>510</x:v>
      </x:c>
      <x:c r="S16" t="s">
        <x:v>511</x:v>
      </x:c>
    </x:row>
    <x:row r="17">
      <x:c r="I17" s="16" t="s">
        <x:v>512</x:v>
      </x:c>
      <x:c r="J17" s="13">
        <x:v>15</x:v>
      </x:c>
      <x:c r="K17" s="13">
        <x:v>5</x:v>
      </x:c>
      <x:c r="L17" s="13">
        <x:v>10</x:v>
      </x:c>
      <x:c r="M17" s="13">
        <x:v>6</x:v>
      </x:c>
      <x:c r="O17" s="1">
        <x:v>3</x:v>
      </x:c>
      <x:c r="P17" t="s">
        <x:v>508</x:v>
      </x:c>
      <x:c r="Q17" t="s">
        <x:v>509</x:v>
      </x:c>
      <x:c r="R17" t="s">
        <x:v>510</x:v>
      </x:c>
      <x:c r="S17" t="s">
        <x:v>511</x:v>
      </x:c>
    </x:row>
    <x:row r="18">
      <x:c r="I18" s="16" t="s">
        <x:v>513</x:v>
      </x:c>
      <x:c r="J18" s="13">
        <x:v>14</x:v>
      </x:c>
      <x:c r="K18" s="13">
        <x:v>5</x:v>
      </x:c>
      <x:c r="L18" s="13">
        <x:v>11</x:v>
      </x:c>
      <x:c r="M18" s="13">
        <x:v>6</x:v>
      </x:c>
      <x:c r="O18" s="1">
        <x:v>4</x:v>
      </x:c>
      <x:c r="P18" t="s">
        <x:v>514</x:v>
      </x:c>
      <x:c r="Q18" t="s">
        <x:v>515</x:v>
      </x:c>
      <x:c r="R18" t="s">
        <x:v>516</x:v>
      </x:c>
      <x:c r="S18" t="s">
        <x:v>517</x:v>
      </x:c>
    </x:row>
    <x:row r="19">
      <x:c r="I19" s="16" t="s">
        <x:v>518</x:v>
      </x:c>
      <x:c r="J19" s="13">
        <x:v>12</x:v>
      </x:c>
      <x:c r="K19" s="13">
        <x:v>6</x:v>
      </x:c>
      <x:c r="L19" s="13">
        <x:v>12</x:v>
      </x:c>
      <x:c r="M19" s="13">
        <x:v>6</x:v>
      </x:c>
      <x:c r="O19" s="1">
        <x:v>5</x:v>
      </x:c>
      <x:c r="P19" t="s">
        <x:v>514</x:v>
      </x:c>
      <x:c r="Q19" t="s">
        <x:v>515</x:v>
      </x:c>
      <x:c r="R19" t="s">
        <x:v>516</x:v>
      </x:c>
      <x:c r="S19" t="s">
        <x:v>517</x:v>
      </x:c>
    </x:row>
    <x:row r="20">
      <x:c r="I20" s="16" t="s">
        <x:v>477</x:v>
      </x:c>
      <x:c r="J20" s="13">
        <x:v>11</x:v>
      </x:c>
      <x:c r="K20" s="13">
        <x:v>6</x:v>
      </x:c>
      <x:c r="L20" s="13">
        <x:v>13</x:v>
      </x:c>
      <x:c r="M20" s="13">
        <x:v>6</x:v>
      </x:c>
      <x:c r="O20" s="1">
        <x:v>6</x:v>
      </x:c>
      <x:c r="P20" t="s">
        <x:v>519</x:v>
      </x:c>
      <x:c r="Q20" t="s">
        <x:v>520</x:v>
      </x:c>
      <x:c r="R20" t="s">
        <x:v>511</x:v>
      </x:c>
      <x:c r="S20" t="s">
        <x:v>521</x:v>
      </x:c>
    </x:row>
    <x:row r="21">
      <x:c r="I21" s="16" t="s">
        <x:v>522</x:v>
      </x:c>
      <x:c r="J21" s="13">
        <x:v>10</x:v>
      </x:c>
      <x:c r="K21" s="13">
        <x:v>7</x:v>
      </x:c>
      <x:c r="L21" s="13">
        <x:v>13</x:v>
      </x:c>
      <x:c r="M21" s="13">
        <x:v>6</x:v>
      </x:c>
    </x:row>
    <x:row r="22">
      <x:c r="I22" s="16" t="s">
        <x:v>523</x:v>
      </x:c>
      <x:c r="J22" s="13">
        <x:v>9</x:v>
      </x:c>
      <x:c r="K22" s="13">
        <x:v>7</x:v>
      </x:c>
      <x:c r="L22" s="13">
        <x:v>14</x:v>
      </x:c>
      <x:c r="M22" s="13">
        <x:v>6</x:v>
      </x:c>
      <x:c r="O22" s="18" t="s">
        <x:v>524</x:v>
      </x:c>
      <x:c r="P22" s="18"/>
      <x:c r="Q22" s="18"/>
      <x:c r="R22" s="18"/>
      <x:c r="S22" s="18"/>
    </x:row>
    <x:row r="23">
      <x:c r="I23" s="16" t="s">
        <x:v>525</x:v>
      </x:c>
      <x:c r="J23" s="13">
        <x:v>8</x:v>
      </x:c>
      <x:c r="K23" s="13">
        <x:v>7</x:v>
      </x:c>
      <x:c r="L23" s="13">
        <x:v>15</x:v>
      </x:c>
      <x:c r="M23" s="13">
        <x:v>6</x:v>
      </x:c>
      <x:c r="O23" s="49" t="s">
        <x:v>464</x:v>
      </x:c>
      <x:c r="P23" t="s">
        <x:v>499</x:v>
      </x:c>
      <x:c r="Q23" t="s">
        <x:v>500</x:v>
      </x:c>
      <x:c r="R23" t="s">
        <x:v>501</x:v>
      </x:c>
      <x:c r="S23" t="s">
        <x:v>357</x:v>
      </x:c>
    </x:row>
    <x:row r="24">
      <x:c r="I24" s="16" t="s">
        <x:v>526</x:v>
      </x:c>
      <x:c r="J24" s="13">
        <x:v>7</x:v>
      </x:c>
      <x:c r="K24" s="13">
        <x:v>8</x:v>
      </x:c>
      <x:c r="L24" s="13">
        <x:v>15</x:v>
      </x:c>
      <x:c r="M24" s="13">
        <x:v>6</x:v>
      </x:c>
      <x:c r="O24" s="50">
        <x:v>1</x:v>
      </x:c>
      <x:c r="P24" t="s">
        <x:v>331</x:v>
      </x:c>
      <x:c r="Q24" t="s">
        <x:v>331</x:v>
      </x:c>
      <x:c r="R24" t="s">
        <x:v>324</x:v>
      </x:c>
      <x:c r="S24" t="s">
        <x:v>324</x:v>
      </x:c>
    </x:row>
    <x:row r="25">
      <x:c r="I25" s="16" t="s">
        <x:v>527</x:v>
      </x:c>
      <x:c r="J25" s="13">
        <x:v>6</x:v>
      </x:c>
      <x:c r="K25" s="13">
        <x:v>8</x:v>
      </x:c>
      <x:c r="L25" s="13">
        <x:v>16</x:v>
      </x:c>
      <x:c r="M25" s="13">
        <x:v>6</x:v>
      </x:c>
      <x:c r="O25" s="51">
        <x:v>2</x:v>
      </x:c>
      <x:c r="P25" t="s">
        <x:v>332</x:v>
      </x:c>
      <x:c r="Q25" t="s">
        <x:v>331</x:v>
      </x:c>
      <x:c r="R25" t="s">
        <x:v>331</x:v>
      </x:c>
      <x:c r="S25" t="s">
        <x:v>324</x:v>
      </x:c>
    </x:row>
    <x:row r="26">
      <x:c r="I26" s="16" t="s">
        <x:v>528</x:v>
      </x:c>
      <x:c r="J26" s="13">
        <x:v>5</x:v>
      </x:c>
      <x:c r="K26" s="13">
        <x:v>8</x:v>
      </x:c>
      <x:c r="L26" s="13">
        <x:v>17</x:v>
      </x:c>
      <x:c r="M26" s="13">
        <x:v>6</x:v>
      </x:c>
      <x:c r="O26" s="50">
        <x:v>3</x:v>
      </x:c>
      <x:c r="P26" t="s">
        <x:v>333</x:v>
      </x:c>
      <x:c r="Q26" t="s">
        <x:v>332</x:v>
      </x:c>
      <x:c r="R26" t="s">
        <x:v>331</x:v>
      </x:c>
      <x:c r="S26" t="s">
        <x:v>331</x:v>
      </x:c>
    </x:row>
    <x:row r="27">
      <x:c r="I27" s="16" t="s">
        <x:v>529</x:v>
      </x:c>
      <x:c r="J27" s="13">
        <x:v>4</x:v>
      </x:c>
      <x:c r="K27" s="13">
        <x:v>9</x:v>
      </x:c>
      <x:c r="L27" s="13">
        <x:v>17</x:v>
      </x:c>
      <x:c r="M27" s="13">
        <x:v>6</x:v>
      </x:c>
      <x:c r="O27" s="51">
        <x:v>4</x:v>
      </x:c>
      <x:c r="P27" t="s">
        <x:v>334</x:v>
      </x:c>
      <x:c r="Q27" t="s">
        <x:v>333</x:v>
      </x:c>
      <x:c r="R27" t="s">
        <x:v>332</x:v>
      </x:c>
      <x:c r="S27" t="s">
        <x:v>331</x:v>
      </x:c>
    </x:row>
    <x:row r="28">
      <x:c r="I28" s="16" t="s">
        <x:v>530</x:v>
      </x:c>
      <x:c r="J28" s="13">
        <x:v>3</x:v>
      </x:c>
      <x:c r="K28" s="13">
        <x:v>9</x:v>
      </x:c>
      <x:c r="L28" s="13">
        <x:v>18</x:v>
      </x:c>
      <x:c r="M28" s="13">
        <x:v>6</x:v>
      </x:c>
      <x:c r="O28" s="50">
        <x:v>5</x:v>
      </x:c>
      <x:c r="P28" t="s">
        <x:v>334</x:v>
      </x:c>
      <x:c r="Q28" t="s">
        <x:v>334</x:v>
      </x:c>
      <x:c r="R28" t="s">
        <x:v>333</x:v>
      </x:c>
      <x:c r="S28" t="s">
        <x:v>332</x:v>
      </x:c>
    </x:row>
    <x:row r="29">
      <x:c r="O29" s="51">
        <x:v>6</x:v>
      </x:c>
      <x:c r="P29" t="s">
        <x:v>334</x:v>
      </x:c>
      <x:c r="Q29" t="s">
        <x:v>334</x:v>
      </x:c>
      <x:c r="R29" t="s">
        <x:v>334</x:v>
      </x:c>
      <x:c r="S29" t="s">
        <x:v>333</x:v>
      </x:c>
    </x:row>
  </x:sheetData>
  <x:pageMargins left="0.7" right="0.7" top="0.75" bottom="0.75" header="0.3" footer="0.3"/>
  <x:tableParts count="6">
    <x:tablePart xmlns:r="http://schemas.openxmlformats.org/officeDocument/2006/relationships" r:id="R094a8b32605e4962"/>
    <x:tablePart xmlns:r="http://schemas.openxmlformats.org/officeDocument/2006/relationships" r:id="Re673211cfaa34d4f"/>
    <x:tablePart xmlns:r="http://schemas.openxmlformats.org/officeDocument/2006/relationships" r:id="R5384a16a95854251"/>
    <x:tablePart xmlns:r="http://schemas.openxmlformats.org/officeDocument/2006/relationships" r:id="R57f1e160122b429b"/>
    <x:tablePart xmlns:r="http://schemas.openxmlformats.org/officeDocument/2006/relationships" r:id="R4d1659b2812b4505"/>
    <x:tablePart xmlns:r="http://schemas.openxmlformats.org/officeDocument/2006/relationships" r:id="R20ca073bb1cb4267"/>
  </x:tableParts>
</x:worksheet>
</file>

<file path=xl/worksheets/sheet9.xml><?xml version="1.0" encoding="utf-8"?>
<x:worksheet xmlns:x="http://schemas.openxmlformats.org/spreadsheetml/2006/main">
  <x:sheetFormatPr defaultRowHeight="15"/>
  <x:cols>
    <x:col min="1" max="1" width="19.28515625" customWidth="1"/>
    <x:col min="2" max="2" width="32.42578125" customWidth="1"/>
    <x:col min="3" max="3" width="27.7109375" customWidth="1"/>
    <x:col min="4" max="4" width="22" customWidth="1"/>
    <x:col min="5" max="5" width="32.85546875" customWidth="1"/>
    <x:col min="6" max="7" width="24.85546875" customWidth="1"/>
    <x:col min="8" max="9" width="38.5703125" customWidth="1"/>
    <x:col min="10" max="10" width="17.28515625" customWidth="1"/>
    <x:col min="11" max="11" width="19.7109375" customWidth="1"/>
    <x:col min="12" max="12" width="27.7109375" customWidth="1"/>
    <x:col min="13" max="13" width="17.28515625" customWidth="1"/>
    <x:col min="14" max="14" width="25.7109375" customWidth="1"/>
    <x:col min="15" max="15" width="217.7109375" customWidth="1"/>
  </x:cols>
  <x:sheetData>
    <x:row r="1">
      <x:c r="A1" t="s">
        <x:v>531</x:v>
      </x:c>
      <x:c r="B1" t="s">
        <x:v>532</x:v>
      </x:c>
      <x:c r="C1" t="s">
        <x:v>533</x:v>
      </x:c>
      <x:c r="D1" t="s">
        <x:v>534</x:v>
      </x:c>
      <x:c r="E1" t="s">
        <x:v>535</x:v>
      </x:c>
      <x:c r="F1" t="s">
        <x:v>536</x:v>
      </x:c>
      <x:c r="G1" t="s">
        <x:v>537</x:v>
      </x:c>
      <x:c r="H1" t="s">
        <x:v>538</x:v>
      </x:c>
      <x:c r="I1" t="s">
        <x:v>539</x:v>
      </x:c>
      <x:c r="J1" t="s">
        <x:v>17</x:v>
      </x:c>
      <x:c r="K1" t="s">
        <x:v>18</x:v>
      </x:c>
      <x:c r="L1" t="s">
        <x:v>540</x:v>
      </x:c>
      <x:c r="M1" t="s">
        <x:v>541</x:v>
      </x:c>
      <x:c r="N1" t="s">
        <x:v>542</x:v>
      </x:c>
      <x:c r="O1" t="s">
        <x:v>543</x:v>
      </x:c>
    </x:row>
    <x:row r="2">
      <x:c r="A2" t="s">
        <x:v>14</x:v>
      </x:c>
      <x:c r="B2" t="s">
        <x:v>544</x:v>
      </x:c>
      <x:c r="D2" t="s">
        <x:v>545</x:v>
      </x:c>
      <x:c r="E2" t="s">
        <x:v>546</x:v>
      </x:c>
      <x:c r="F2" t="s">
        <x:v>547</x:v>
      </x:c>
      <x:c r="H2" t="s">
        <x:v>548</x:v>
      </x:c>
      <x:c r="I2" t="s">
        <x:v>549</x:v>
      </x:c>
      <x:c r="J2" t="s">
        <x:v>550</x:v>
      </x:c>
      <x:c r="K2" t="s">
        <x:v>551</x:v>
      </x:c>
      <x:c r="L2" t="s">
        <x:v>552</x:v>
      </x:c>
      <x:c r="M2" t="s">
        <x:v>544</x:v>
      </x:c>
    </x:row>
    <x:row r="3">
      <x:c r="A3" t="s">
        <x:v>14</x:v>
      </x:c>
      <x:c r="B3" t="s">
        <x:v>544</x:v>
      </x:c>
      <x:c r="D3" t="s">
        <x:v>545</x:v>
      </x:c>
      <x:c r="E3" t="s">
        <x:v>546</x:v>
      </x:c>
      <x:c r="F3" t="s">
        <x:v>547</x:v>
      </x:c>
      <x:c r="H3" t="s">
        <x:v>553</x:v>
      </x:c>
      <x:c r="I3" t="s">
        <x:v>549</x:v>
      </x:c>
      <x:c r="J3" t="s">
        <x:v>550</x:v>
      </x:c>
      <x:c r="K3" t="s">
        <x:v>554</x:v>
      </x:c>
      <x:c r="L3" t="s">
        <x:v>555</x:v>
      </x:c>
      <x:c r="M3" t="s">
        <x:v>556</x:v>
      </x:c>
    </x:row>
    <x:row r="4">
      <x:c r="A4" t="s">
        <x:v>14</x:v>
      </x:c>
      <x:c r="B4" t="s">
        <x:v>544</x:v>
      </x:c>
      <x:c r="D4" t="s">
        <x:v>545</x:v>
      </x:c>
      <x:c r="E4" t="s">
        <x:v>557</x:v>
      </x:c>
      <x:c r="F4" t="s">
        <x:v>558</x:v>
      </x:c>
      <x:c r="H4" t="s">
        <x:v>559</x:v>
      </x:c>
      <x:c r="I4" t="s">
        <x:v>549</x:v>
      </x:c>
      <x:c r="J4" t="s">
        <x:v>550</x:v>
      </x:c>
      <x:c r="K4" t="s">
        <x:v>560</x:v>
      </x:c>
      <x:c r="L4" t="s">
        <x:v>561</x:v>
      </x:c>
      <x:c r="M4" t="s">
        <x:v>562</x:v>
      </x:c>
    </x:row>
    <x:row r="5">
      <x:c r="A5" t="s">
        <x:v>14</x:v>
      </x:c>
      <x:c r="B5" t="s">
        <x:v>544</x:v>
      </x:c>
      <x:c r="D5" t="s">
        <x:v>545</x:v>
      </x:c>
      <x:c r="E5" t="s">
        <x:v>557</x:v>
      </x:c>
      <x:c r="F5" t="s">
        <x:v>558</x:v>
      </x:c>
      <x:c r="H5" t="s">
        <x:v>563</x:v>
      </x:c>
      <x:c r="I5" t="s">
        <x:v>549</x:v>
      </x:c>
      <x:c r="J5" t="s">
        <x:v>550</x:v>
      </x:c>
      <x:c r="K5" t="s">
        <x:v>564</x:v>
      </x:c>
      <x:c r="L5" t="s">
        <x:v>565</x:v>
      </x:c>
      <x:c r="M5" t="s">
        <x:v>566</x:v>
      </x:c>
    </x:row>
    <x:row r="6">
      <x:c r="A6" t="s">
        <x:v>21</x:v>
      </x:c>
      <x:c r="B6" t="s">
        <x:v>567</x:v>
      </x:c>
      <x:c r="C6" t="s">
        <x:v>568</x:v>
      </x:c>
      <x:c r="D6" t="s">
        <x:v>569</x:v>
      </x:c>
      <x:c r="E6" t="s">
        <x:v>570</x:v>
      </x:c>
      <x:c r="F6" t="s">
        <x:v>571</x:v>
      </x:c>
      <x:c r="H6" t="s">
        <x:v>572</x:v>
      </x:c>
      <x:c r="I6" t="s">
        <x:v>549</x:v>
      </x:c>
      <x:c r="J6" t="s">
        <x:v>550</x:v>
      </x:c>
      <x:c r="K6" t="s">
        <x:v>573</x:v>
      </x:c>
      <x:c r="L6" t="s">
        <x:v>574</x:v>
      </x:c>
      <x:c r="M6" t="s">
        <x:v>575</x:v>
      </x:c>
      <x:c r="N6" t="s">
        <x:v>576</x:v>
      </x:c>
    </x:row>
    <x:row r="7">
      <x:c r="A7" t="s">
        <x:v>21</x:v>
      </x:c>
      <x:c r="B7" t="s">
        <x:v>567</x:v>
      </x:c>
      <x:c r="C7" t="s">
        <x:v>568</x:v>
      </x:c>
      <x:c r="D7" t="s">
        <x:v>569</x:v>
      </x:c>
      <x:c r="E7" t="s">
        <x:v>570</x:v>
      </x:c>
      <x:c r="F7" t="s">
        <x:v>571</x:v>
      </x:c>
      <x:c r="H7" t="s">
        <x:v>577</x:v>
      </x:c>
      <x:c r="I7" t="s">
        <x:v>549</x:v>
      </x:c>
      <x:c r="J7" t="s">
        <x:v>550</x:v>
      </x:c>
      <x:c r="K7" t="s">
        <x:v>578</x:v>
      </x:c>
      <x:c r="L7" t="s">
        <x:v>579</x:v>
      </x:c>
      <x:c r="M7" t="s">
        <x:v>580</x:v>
      </x:c>
      <x:c r="N7" t="s">
        <x:v>576</x:v>
      </x:c>
    </x:row>
    <x:row r="8">
      <x:c r="A8" t="s">
        <x:v>21</x:v>
      </x:c>
      <x:c r="B8" t="s">
        <x:v>567</x:v>
      </x:c>
      <x:c r="C8" t="s">
        <x:v>568</x:v>
      </x:c>
      <x:c r="D8" t="s">
        <x:v>569</x:v>
      </x:c>
      <x:c r="E8" t="s">
        <x:v>581</x:v>
      </x:c>
      <x:c r="F8" t="s">
        <x:v>582</x:v>
      </x:c>
      <x:c r="H8" t="s">
        <x:v>583</x:v>
      </x:c>
      <x:c r="I8" t="s">
        <x:v>549</x:v>
      </x:c>
      <x:c r="J8" t="s">
        <x:v>550</x:v>
      </x:c>
      <x:c r="K8" t="s">
        <x:v>584</x:v>
      </x:c>
      <x:c r="L8" t="s">
        <x:v>585</x:v>
      </x:c>
      <x:c r="M8" t="s">
        <x:v>586</x:v>
      </x:c>
      <x:c r="N8" t="s">
        <x:v>576</x:v>
      </x:c>
    </x:row>
    <x:row r="9">
      <x:c r="A9" t="s">
        <x:v>21</x:v>
      </x:c>
      <x:c r="B9" t="s">
        <x:v>567</x:v>
      </x:c>
      <x:c r="C9" t="s">
        <x:v>568</x:v>
      </x:c>
      <x:c r="D9" t="s">
        <x:v>569</x:v>
      </x:c>
      <x:c r="E9" t="s">
        <x:v>587</x:v>
      </x:c>
      <x:c r="F9" t="s">
        <x:v>588</x:v>
      </x:c>
      <x:c r="H9" t="s">
        <x:v>589</x:v>
      </x:c>
      <x:c r="I9" t="s">
        <x:v>590</x:v>
      </x:c>
      <x:c r="J9" t="s">
        <x:v>60</x:v>
      </x:c>
      <x:c r="K9" t="s">
        <x:v>591</x:v>
      </x:c>
      <x:c r="L9" t="s">
        <x:v>592</x:v>
      </x:c>
      <x:c r="M9" t="s">
        <x:v>593</x:v>
      </x:c>
      <x:c r="N9" t="s">
        <x:v>576</x:v>
      </x:c>
    </x:row>
    <x:row r="10">
      <x:c r="A10" t="s">
        <x:v>22</x:v>
      </x:c>
      <x:c r="B10" t="s">
        <x:v>594</x:v>
      </x:c>
      <x:c r="C10" t="s">
        <x:v>595</x:v>
      </x:c>
      <x:c r="D10" t="s">
        <x:v>596</x:v>
      </x:c>
      <x:c r="E10" t="s">
        <x:v>597</x:v>
      </x:c>
      <x:c r="F10" t="s">
        <x:v>598</x:v>
      </x:c>
      <x:c r="H10" t="s">
        <x:v>599</x:v>
      </x:c>
      <x:c r="I10" t="s">
        <x:v>549</x:v>
      </x:c>
      <x:c r="J10" t="s">
        <x:v>550</x:v>
      </x:c>
      <x:c r="K10" t="s">
        <x:v>600</x:v>
      </x:c>
      <x:c r="L10" t="s">
        <x:v>601</x:v>
      </x:c>
      <x:c r="M10" t="s">
        <x:v>594</x:v>
      </x:c>
      <x:c r="N10" t="s">
        <x:v>602</x:v>
      </x:c>
      <x:c r="O10" t="s">
        <x:v>603</x:v>
      </x:c>
    </x:row>
    <x:row r="11">
      <x:c r="A11" t="s">
        <x:v>22</x:v>
      </x:c>
      <x:c r="B11" t="s">
        <x:v>594</x:v>
      </x:c>
      <x:c r="C11" t="s">
        <x:v>595</x:v>
      </x:c>
      <x:c r="D11" t="s">
        <x:v>596</x:v>
      </x:c>
      <x:c r="E11" t="s">
        <x:v>597</x:v>
      </x:c>
      <x:c r="F11" t="s">
        <x:v>598</x:v>
      </x:c>
      <x:c r="H11" t="s">
        <x:v>604</x:v>
      </x:c>
      <x:c r="I11" t="s">
        <x:v>549</x:v>
      </x:c>
      <x:c r="J11" t="s">
        <x:v>550</x:v>
      </x:c>
      <x:c r="K11" t="s">
        <x:v>605</x:v>
      </x:c>
      <x:c r="L11" t="s">
        <x:v>606</x:v>
      </x:c>
      <x:c r="M11" t="s">
        <x:v>607</x:v>
      </x:c>
      <x:c r="N11" t="s">
        <x:v>608</x:v>
      </x:c>
      <x:c r="O11" t="s">
        <x:v>609</x:v>
      </x:c>
    </x:row>
    <x:row r="12">
      <x:c r="A12" t="s">
        <x:v>22</x:v>
      </x:c>
      <x:c r="B12" t="s">
        <x:v>594</x:v>
      </x:c>
      <x:c r="C12" t="s">
        <x:v>595</x:v>
      </x:c>
      <x:c r="D12" t="s">
        <x:v>596</x:v>
      </x:c>
      <x:c r="E12" t="s">
        <x:v>610</x:v>
      </x:c>
      <x:c r="F12" t="s">
        <x:v>611</x:v>
      </x:c>
      <x:c r="H12" t="s">
        <x:v>612</x:v>
      </x:c>
      <x:c r="I12" t="s">
        <x:v>549</x:v>
      </x:c>
      <x:c r="J12" t="s">
        <x:v>550</x:v>
      </x:c>
      <x:c r="K12" t="s">
        <x:v>613</x:v>
      </x:c>
      <x:c r="L12" t="s">
        <x:v>614</x:v>
      </x:c>
      <x:c r="M12" t="s">
        <x:v>615</x:v>
      </x:c>
      <x:c r="N12" t="s">
        <x:v>616</x:v>
      </x:c>
      <x:c r="O12" t="s">
        <x:v>617</x:v>
      </x:c>
    </x:row>
    <x:row r="13">
      <x:c r="A13" t="s">
        <x:v>22</x:v>
      </x:c>
      <x:c r="B13" t="s">
        <x:v>594</x:v>
      </x:c>
      <x:c r="C13" t="s">
        <x:v>595</x:v>
      </x:c>
      <x:c r="D13" t="s">
        <x:v>596</x:v>
      </x:c>
      <x:c r="E13" t="s">
        <x:v>618</x:v>
      </x:c>
      <x:c r="F13" t="s">
        <x:v>619</x:v>
      </x:c>
      <x:c r="H13" t="s">
        <x:v>620</x:v>
      </x:c>
      <x:c r="I13" t="s">
        <x:v>590</x:v>
      </x:c>
      <x:c r="J13" t="s">
        <x:v>550</x:v>
      </x:c>
      <x:c r="K13" t="s">
        <x:v>621</x:v>
      </x:c>
      <x:c r="L13" t="s">
        <x:v>622</x:v>
      </x:c>
      <x:c r="M13" t="s">
        <x:v>623</x:v>
      </x:c>
      <x:c r="N13" t="s">
        <x:v>624</x:v>
      </x:c>
      <x:c r="O13" t="s">
        <x:v>625</x:v>
      </x:c>
    </x:row>
    <x:row r="14">
      <x:c r="A14" t="s">
        <x:v>25</x:v>
      </x:c>
      <x:c r="B14" t="s">
        <x:v>626</x:v>
      </x:c>
      <x:c r="C14" t="s">
        <x:v>627</x:v>
      </x:c>
      <x:c r="D14" t="s">
        <x:v>628</x:v>
      </x:c>
      <x:c r="E14" t="s">
        <x:v>629</x:v>
      </x:c>
      <x:c r="F14" t="s">
        <x:v>626</x:v>
      </x:c>
      <x:c r="H14" t="s">
        <x:v>630</x:v>
      </x:c>
      <x:c r="I14" t="s">
        <x:v>549</x:v>
      </x:c>
      <x:c r="J14" t="s">
        <x:v>550</x:v>
      </x:c>
      <x:c r="K14" t="s">
        <x:v>631</x:v>
      </x:c>
      <x:c r="L14" t="s">
        <x:v>632</x:v>
      </x:c>
      <x:c r="M14" t="s">
        <x:v>633</x:v>
      </x:c>
      <x:c r="O14" t="s">
        <x:v>634</x:v>
      </x:c>
    </x:row>
    <x:row r="15">
      <x:c r="A15" t="s">
        <x:v>25</x:v>
      </x:c>
      <x:c r="B15" t="s">
        <x:v>626</x:v>
      </x:c>
      <x:c r="C15" t="s">
        <x:v>627</x:v>
      </x:c>
      <x:c r="D15" t="s">
        <x:v>628</x:v>
      </x:c>
      <x:c r="E15" t="s">
        <x:v>629</x:v>
      </x:c>
      <x:c r="F15" t="s">
        <x:v>626</x:v>
      </x:c>
      <x:c r="H15" t="s">
        <x:v>635</x:v>
      </x:c>
      <x:c r="I15" t="s">
        <x:v>549</x:v>
      </x:c>
      <x:c r="J15" t="s">
        <x:v>550</x:v>
      </x:c>
      <x:c r="K15" t="s">
        <x:v>636</x:v>
      </x:c>
      <x:c r="L15" t="s">
        <x:v>637</x:v>
      </x:c>
      <x:c r="M15" t="s">
        <x:v>638</x:v>
      </x:c>
      <x:c r="N15" t="s">
        <x:v>639</x:v>
      </x:c>
    </x:row>
    <x:row r="16">
      <x:c r="A16" t="s">
        <x:v>25</x:v>
      </x:c>
      <x:c r="B16" t="s">
        <x:v>626</x:v>
      </x:c>
      <x:c r="C16" t="s">
        <x:v>627</x:v>
      </x:c>
      <x:c r="D16" t="s">
        <x:v>628</x:v>
      </x:c>
      <x:c r="E16" t="s">
        <x:v>640</x:v>
      </x:c>
      <x:c r="F16" t="s">
        <x:v>641</x:v>
      </x:c>
      <x:c r="H16" t="s">
        <x:v>642</x:v>
      </x:c>
      <x:c r="I16" t="s">
        <x:v>549</x:v>
      </x:c>
      <x:c r="J16" t="s">
        <x:v>550</x:v>
      </x:c>
      <x:c r="K16" t="s">
        <x:v>643</x:v>
      </x:c>
      <x:c r="L16" t="s">
        <x:v>644</x:v>
      </x:c>
      <x:c r="M16" t="s">
        <x:v>645</x:v>
      </x:c>
    </x:row>
    <x:row r="17">
      <x:c r="A17" t="s">
        <x:v>25</x:v>
      </x:c>
      <x:c r="B17" t="s">
        <x:v>626</x:v>
      </x:c>
      <x:c r="C17" t="s">
        <x:v>627</x:v>
      </x:c>
      <x:c r="D17" t="s">
        <x:v>628</x:v>
      </x:c>
      <x:c r="E17" t="s">
        <x:v>646</x:v>
      </x:c>
      <x:c r="F17" t="s">
        <x:v>647</x:v>
      </x:c>
      <x:c r="H17" t="s">
        <x:v>648</x:v>
      </x:c>
      <x:c r="I17" t="s">
        <x:v>590</x:v>
      </x:c>
      <x:c r="J17" t="s">
        <x:v>60</x:v>
      </x:c>
      <x:c r="K17" t="s">
        <x:v>649</x:v>
      </x:c>
      <x:c r="L17" t="s">
        <x:v>650</x:v>
      </x:c>
      <x:c r="M17" t="s">
        <x:v>651</x:v>
      </x:c>
      <x:c r="N17" t="s">
        <x:v>652</x:v>
      </x:c>
      <x:c r="O17" t="s">
        <x:v>653</x:v>
      </x:c>
    </x:row>
    <x:row r="18">
      <x:c r="A18" t="s">
        <x:v>24</x:v>
      </x:c>
      <x:c r="B18" t="s">
        <x:v>654</x:v>
      </x:c>
      <x:c r="C18" t="s">
        <x:v>655</x:v>
      </x:c>
      <x:c r="D18" t="s">
        <x:v>656</x:v>
      </x:c>
      <x:c r="E18" t="s">
        <x:v>657</x:v>
      </x:c>
      <x:c r="F18" t="s">
        <x:v>658</x:v>
      </x:c>
      <x:c r="H18" t="s">
        <x:v>659</x:v>
      </x:c>
      <x:c r="I18" t="s">
        <x:v>549</x:v>
      </x:c>
      <x:c r="J18" t="s">
        <x:v>550</x:v>
      </x:c>
      <x:c r="K18" t="s">
        <x:v>660</x:v>
      </x:c>
      <x:c r="L18" t="s">
        <x:v>661</x:v>
      </x:c>
      <x:c r="M18" t="s">
        <x:v>658</x:v>
      </x:c>
    </x:row>
    <x:row r="19">
      <x:c r="A19" t="s">
        <x:v>24</x:v>
      </x:c>
      <x:c r="B19" t="s">
        <x:v>654</x:v>
      </x:c>
      <x:c r="C19" t="s">
        <x:v>655</x:v>
      </x:c>
      <x:c r="D19" t="s">
        <x:v>656</x:v>
      </x:c>
      <x:c r="E19" t="s">
        <x:v>657</x:v>
      </x:c>
      <x:c r="F19" t="s">
        <x:v>658</x:v>
      </x:c>
      <x:c r="H19" t="s">
        <x:v>662</x:v>
      </x:c>
      <x:c r="I19" t="s">
        <x:v>590</x:v>
      </x:c>
      <x:c r="J19" t="s">
        <x:v>550</x:v>
      </x:c>
      <x:c r="K19" t="s">
        <x:v>663</x:v>
      </x:c>
      <x:c r="L19" t="s">
        <x:v>664</x:v>
      </x:c>
      <x:c r="M19" t="s">
        <x:v>665</x:v>
      </x:c>
    </x:row>
    <x:row r="20">
      <x:c r="A20" t="s">
        <x:v>24</x:v>
      </x:c>
      <x:c r="B20" t="s">
        <x:v>654</x:v>
      </x:c>
      <x:c r="C20" t="s">
        <x:v>655</x:v>
      </x:c>
      <x:c r="D20" t="s">
        <x:v>656</x:v>
      </x:c>
      <x:c r="E20" t="s">
        <x:v>666</x:v>
      </x:c>
      <x:c r="F20" t="s">
        <x:v>667</x:v>
      </x:c>
      <x:c r="H20" t="s">
        <x:v>668</x:v>
      </x:c>
      <x:c r="I20" t="s">
        <x:v>590</x:v>
      </x:c>
      <x:c r="J20" t="s">
        <x:v>550</x:v>
      </x:c>
      <x:c r="K20" t="s">
        <x:v>669</x:v>
      </x:c>
      <x:c r="L20" t="s">
        <x:v>670</x:v>
      </x:c>
      <x:c r="M20" t="s">
        <x:v>671</x:v>
      </x:c>
    </x:row>
    <x:row r="21">
      <x:c r="A21" t="s">
        <x:v>24</x:v>
      </x:c>
      <x:c r="B21" t="s">
        <x:v>654</x:v>
      </x:c>
      <x:c r="C21" t="s">
        <x:v>655</x:v>
      </x:c>
      <x:c r="D21" t="s">
        <x:v>656</x:v>
      </x:c>
      <x:c r="E21" t="s">
        <x:v>672</x:v>
      </x:c>
      <x:c r="F21" t="s">
        <x:v>673</x:v>
      </x:c>
      <x:c r="H21" t="s">
        <x:v>674</x:v>
      </x:c>
      <x:c r="I21" t="s">
        <x:v>590</x:v>
      </x:c>
      <x:c r="J21" t="s">
        <x:v>550</x:v>
      </x:c>
      <x:c r="K21" t="s">
        <x:v>573</x:v>
      </x:c>
      <x:c r="L21" t="s">
        <x:v>675</x:v>
      </x:c>
      <x:c r="M21" t="s">
        <x:v>676</x:v>
      </x:c>
    </x:row>
    <x:row r="22">
      <x:c r="A22" t="s">
        <x:v>677</x:v>
      </x:c>
      <x:c r="B22" t="s">
        <x:v>678</x:v>
      </x:c>
      <x:c r="C22" t="s">
        <x:v>679</x:v>
      </x:c>
      <x:c r="D22" t="s">
        <x:v>680</x:v>
      </x:c>
      <x:c r="E22" t="s">
        <x:v>681</x:v>
      </x:c>
      <x:c r="F22" t="s">
        <x:v>682</x:v>
      </x:c>
      <x:c r="H22" t="s">
        <x:v>683</x:v>
      </x:c>
      <x:c r="I22" t="s">
        <x:v>549</x:v>
      </x:c>
      <x:c r="J22" t="s">
        <x:v>550</x:v>
      </x:c>
      <x:c r="K22" t="s">
        <x:v>684</x:v>
      </x:c>
      <x:c r="L22" t="s">
        <x:v>685</x:v>
      </x:c>
      <x:c r="M22" t="s">
        <x:v>686</x:v>
      </x:c>
    </x:row>
    <x:row r="23">
      <x:c r="A23" t="s">
        <x:v>677</x:v>
      </x:c>
      <x:c r="B23" t="s">
        <x:v>678</x:v>
      </x:c>
      <x:c r="C23" t="s">
        <x:v>679</x:v>
      </x:c>
      <x:c r="D23" t="s">
        <x:v>680</x:v>
      </x:c>
      <x:c r="E23" t="s">
        <x:v>681</x:v>
      </x:c>
      <x:c r="F23" t="s">
        <x:v>682</x:v>
      </x:c>
      <x:c r="H23" t="s">
        <x:v>687</x:v>
      </x:c>
      <x:c r="I23" t="s">
        <x:v>549</x:v>
      </x:c>
      <x:c r="J23" t="s">
        <x:v>550</x:v>
      </x:c>
      <x:c r="K23" t="s">
        <x:v>688</x:v>
      </x:c>
      <x:c r="L23" t="s">
        <x:v>689</x:v>
      </x:c>
      <x:c r="M23" t="s">
        <x:v>690</x:v>
      </x:c>
      <x:c r="N23" t="s">
        <x:v>691</x:v>
      </x:c>
      <x:c r="O23" t="s">
        <x:v>692</x:v>
      </x:c>
    </x:row>
    <x:row r="24">
      <x:c r="A24" t="s">
        <x:v>677</x:v>
      </x:c>
      <x:c r="B24" t="s">
        <x:v>678</x:v>
      </x:c>
      <x:c r="C24" t="s">
        <x:v>679</x:v>
      </x:c>
      <x:c r="D24" t="s">
        <x:v>680</x:v>
      </x:c>
      <x:c r="E24" t="s">
        <x:v>693</x:v>
      </x:c>
      <x:c r="F24" t="s">
        <x:v>694</x:v>
      </x:c>
      <x:c r="H24" t="s">
        <x:v>695</x:v>
      </x:c>
      <x:c r="I24" t="s">
        <x:v>549</x:v>
      </x:c>
      <x:c r="J24" t="s">
        <x:v>550</x:v>
      </x:c>
      <x:c r="K24" t="s">
        <x:v>696</x:v>
      </x:c>
      <x:c r="M24" t="s">
        <x:v>697</x:v>
      </x:c>
    </x:row>
    <x:row r="25">
      <x:c r="A25" t="s">
        <x:v>677</x:v>
      </x:c>
      <x:c r="B25" t="s">
        <x:v>678</x:v>
      </x:c>
      <x:c r="C25" t="s">
        <x:v>679</x:v>
      </x:c>
      <x:c r="D25" t="s">
        <x:v>680</x:v>
      </x:c>
      <x:c r="E25" t="s">
        <x:v>693</x:v>
      </x:c>
      <x:c r="F25" t="s">
        <x:v>694</x:v>
      </x:c>
      <x:c r="H25" t="s">
        <x:v>698</x:v>
      </x:c>
      <x:c r="I25" t="s">
        <x:v>590</x:v>
      </x:c>
      <x:c r="J25" t="s">
        <x:v>550</x:v>
      </x:c>
      <x:c r="K25" t="s">
        <x:v>696</x:v>
      </x:c>
      <x:c r="L25" t="s">
        <x:v>699</x:v>
      </x:c>
      <x:c r="M25" t="s">
        <x:v>700</x:v>
      </x:c>
    </x:row>
    <x:row r="26">
      <x:c r="A26" t="s">
        <x:v>701</x:v>
      </x:c>
      <x:c r="B26" t="s">
        <x:v>702</x:v>
      </x:c>
      <x:c r="C26" t="s">
        <x:v>703</x:v>
      </x:c>
      <x:c r="D26" t="s">
        <x:v>704</x:v>
      </x:c>
      <x:c r="E26" t="s">
        <x:v>705</x:v>
      </x:c>
      <x:c r="F26" t="s">
        <x:v>706</x:v>
      </x:c>
      <x:c r="G26" t="s">
        <x:v>707</x:v>
      </x:c>
      <x:c r="H26" t="s">
        <x:v>708</x:v>
      </x:c>
      <x:c r="I26" t="s">
        <x:v>549</x:v>
      </x:c>
      <x:c r="J26" t="s">
        <x:v>550</x:v>
      </x:c>
      <x:c r="K26" t="s">
        <x:v>709</x:v>
      </x:c>
      <x:c r="L26" t="s">
        <x:v>710</x:v>
      </x:c>
      <x:c r="M26" t="s">
        <x:v>706</x:v>
      </x:c>
    </x:row>
    <x:row r="27">
      <x:c r="A27" t="s">
        <x:v>701</x:v>
      </x:c>
      <x:c r="B27" t="s">
        <x:v>702</x:v>
      </x:c>
      <x:c r="C27" t="s">
        <x:v>703</x:v>
      </x:c>
      <x:c r="D27" t="s">
        <x:v>704</x:v>
      </x:c>
      <x:c r="E27" t="s">
        <x:v>711</x:v>
      </x:c>
      <x:c r="F27" t="s">
        <x:v>712</x:v>
      </x:c>
      <x:c r="G27" t="s">
        <x:v>707</x:v>
      </x:c>
      <x:c r="H27" t="s">
        <x:v>713</x:v>
      </x:c>
      <x:c r="I27" t="s">
        <x:v>549</x:v>
      </x:c>
      <x:c r="J27" t="s">
        <x:v>550</x:v>
      </x:c>
      <x:c r="K27" t="s">
        <x:v>714</x:v>
      </x:c>
    </x:row>
    <x:row r="28">
      <x:c r="A28" t="s">
        <x:v>701</x:v>
      </x:c>
      <x:c r="B28" t="s">
        <x:v>702</x:v>
      </x:c>
      <x:c r="C28" t="s">
        <x:v>703</x:v>
      </x:c>
      <x:c r="D28" t="s">
        <x:v>704</x:v>
      </x:c>
      <x:c r="E28" t="s">
        <x:v>715</x:v>
      </x:c>
      <x:c r="F28" t="s">
        <x:v>716</x:v>
      </x:c>
      <x:c r="G28" t="s">
        <x:v>707</x:v>
      </x:c>
      <x:c r="H28" t="s">
        <x:v>717</x:v>
      </x:c>
      <x:c r="I28" t="s">
        <x:v>549</x:v>
      </x:c>
      <x:c r="J28" t="s">
        <x:v>550</x:v>
      </x:c>
      <x:c r="K28" t="s">
        <x:v>718</x:v>
      </x:c>
      <x:c r="L28" t="s">
        <x:v>719</x:v>
      </x:c>
      <x:c r="M28" t="s">
        <x:v>720</x:v>
      </x:c>
      <x:c r="N28" t="s">
        <x:v>721</x:v>
      </x:c>
      <x:c r="O28" t="s">
        <x:v>722</x:v>
      </x:c>
    </x:row>
    <x:row r="29">
      <x:c r="A29" t="s">
        <x:v>701</x:v>
      </x:c>
      <x:c r="B29" t="s">
        <x:v>702</x:v>
      </x:c>
      <x:c r="C29" t="s">
        <x:v>703</x:v>
      </x:c>
      <x:c r="D29" t="s">
        <x:v>704</x:v>
      </x:c>
      <x:c r="E29" t="s">
        <x:v>723</x:v>
      </x:c>
      <x:c r="F29" t="s">
        <x:v>724</x:v>
      </x:c>
      <x:c r="G29" t="s">
        <x:v>707</x:v>
      </x:c>
      <x:c r="H29" t="s">
        <x:v>725</x:v>
      </x:c>
      <x:c r="I29" t="s">
        <x:v>549</x:v>
      </x:c>
      <x:c r="J29" t="s">
        <x:v>550</x:v>
      </x:c>
      <x:c r="K29" t="s">
        <x:v>726</x:v>
      </x:c>
      <x:c r="L29" t="s">
        <x:v>727</x:v>
      </x:c>
      <x:c r="M29" t="s">
        <x:v>728</x:v>
      </x:c>
      <x:c r="N29" t="s">
        <x:v>707</x:v>
      </x:c>
      <x:c r="O29" t="s">
        <x:v>729</x:v>
      </x:c>
    </x:row>
    <x:row r="30">
      <x:c r="A30" t="s">
        <x:v>494</x:v>
      </x:c>
      <x:c r="B30" t="s">
        <x:v>730</x:v>
      </x:c>
      <x:c r="E30" t="s">
        <x:v>731</x:v>
      </x:c>
      <x:c r="F30" t="s">
        <x:v>732</x:v>
      </x:c>
      <x:c r="H30" t="s">
        <x:v>733</x:v>
      </x:c>
      <x:c r="I30" t="s">
        <x:v>734</x:v>
      </x:c>
      <x:c r="K30" t="s">
        <x:v>528</x:v>
      </x:c>
      <x:c r="L30" t="s">
        <x:v>735</x:v>
      </x:c>
      <x:c r="M30" t="s">
        <x:v>736</x:v>
      </x:c>
    </x:row>
    <x:row r="31">
      <x:c r="A31" t="s">
        <x:v>494</x:v>
      </x:c>
      <x:c r="B31" t="s">
        <x:v>730</x:v>
      </x:c>
      <x:c r="E31" t="s">
        <x:v>731</x:v>
      </x:c>
      <x:c r="F31" t="s">
        <x:v>732</x:v>
      </x:c>
      <x:c r="H31" t="s">
        <x:v>737</x:v>
      </x:c>
      <x:c r="I31" t="s">
        <x:v>590</x:v>
      </x:c>
      <x:c r="K31" t="s">
        <x:v>518</x:v>
      </x:c>
      <x:c r="L31" t="s">
        <x:v>738</x:v>
      </x:c>
      <x:c r="M31" t="s">
        <x:v>739</x:v>
      </x:c>
    </x:row>
    <x:row r="32">
      <x:c r="A32" t="s">
        <x:v>494</x:v>
      </x:c>
      <x:c r="B32" t="s">
        <x:v>730</x:v>
      </x:c>
      <x:c r="E32" t="s">
        <x:v>731</x:v>
      </x:c>
      <x:c r="F32" t="s">
        <x:v>732</x:v>
      </x:c>
      <x:c r="H32" t="s">
        <x:v>740</x:v>
      </x:c>
      <x:c r="I32" t="s">
        <x:v>590</x:v>
      </x:c>
      <x:c r="K32" t="s">
        <x:v>493</x:v>
      </x:c>
      <x:c r="L32" t="s">
        <x:v>741</x:v>
      </x:c>
      <x:c r="M32" t="s">
        <x:v>742</x:v>
      </x:c>
      <x:c r="N32" t="s">
        <x:v>743</x:v>
      </x:c>
    </x:row>
    <x:row r="33">
      <x:c r="A33" t="s">
        <x:v>494</x:v>
      </x:c>
      <x:c r="B33" t="s">
        <x:v>730</x:v>
      </x:c>
      <x:c r="E33" t="s">
        <x:v>731</x:v>
      </x:c>
      <x:c r="F33" t="s">
        <x:v>732</x:v>
      </x:c>
      <x:c r="H33" t="s">
        <x:v>744</x:v>
      </x:c>
      <x:c r="I33" t="s">
        <x:v>734</x:v>
      </x:c>
      <x:c r="K33" t="s">
        <x:v>475</x:v>
      </x:c>
      <x:c r="L33" t="s">
        <x:v>745</x:v>
      </x:c>
      <x:c r="M33" t="s">
        <x:v>746</x:v>
      </x:c>
    </x:row>
    <x:row r="34">
      <x:c r="A34" t="s">
        <x:v>494</x:v>
      </x:c>
      <x:c r="B34" t="s">
        <x:v>730</x:v>
      </x:c>
      <x:c r="E34" t="str">
        <x:v>Eighth Army V-pi</x:v>
      </x:c>
      <x:c r="F34" t="s">
        <x:v>747</x:v>
      </x:c>
      <x:c r="H34" t="s">
        <x:v>748</x:v>
      </x:c>
      <x:c r="I34" t="s">
        <x:v>590</x:v>
      </x:c>
      <x:c r="K34" t="s">
        <x:v>498</x:v>
      </x:c>
      <x:c r="L34" t="s">
        <x:v>749</x:v>
      </x:c>
      <x:c r="M34" t="s">
        <x:v>750</x:v>
      </x:c>
      <x:c r="O34" t="s">
        <x:v>751</x:v>
      </x:c>
    </x:row>
    <x:row r="35">
      <x:c r="A35" t="s">
        <x:v>494</x:v>
      </x:c>
      <x:c r="B35" t="s">
        <x:v>730</x:v>
      </x:c>
      <x:c r="E35" t="str">
        <x:v>Eighth Army V-pi</x:v>
      </x:c>
      <x:c r="F35" t="s">
        <x:v>747</x:v>
      </x:c>
      <x:c r="H35" t="s">
        <x:v>752</x:v>
      </x:c>
      <x:c r="I35" t="s">
        <x:v>753</x:v>
      </x:c>
      <x:c r="K35" t="s">
        <x:v>526</x:v>
      </x:c>
      <x:c r="L35" t="s">
        <x:v>754</x:v>
      </x:c>
      <x:c r="M35" t="s">
        <x:v>755</x:v>
      </x:c>
    </x:row>
    <x:row r="36">
      <x:c r="A36" t="s">
        <x:v>494</x:v>
      </x:c>
      <x:c r="B36" t="s">
        <x:v>730</x:v>
      </x:c>
      <x:c r="E36" t="str">
        <x:v>Eighth Army V-pi</x:v>
      </x:c>
      <x:c r="F36" t="s">
        <x:v>747</x:v>
      </x:c>
      <x:c r="H36" t="s">
        <x:v>756</x:v>
      </x:c>
      <x:c r="I36" t="s">
        <x:v>753</x:v>
      </x:c>
      <x:c r="K36" t="s">
        <x:v>498</x:v>
      </x:c>
      <x:c r="L36" t="s">
        <x:v>757</x:v>
      </x:c>
      <x:c r="M36" t="s">
        <x:v>758</x:v>
      </x:c>
    </x:row>
    <x:row r="37">
      <x:c r="A37" t="s">
        <x:v>494</x:v>
      </x:c>
      <x:c r="B37" t="s">
        <x:v>730</x:v>
      </x:c>
      <x:c r="E37" t="str">
        <x:v>Eighth Army V-pi</x:v>
      </x:c>
      <x:c r="F37" t="s">
        <x:v>747</x:v>
      </x:c>
      <x:c r="H37" t="s">
        <x:v>759</x:v>
      </x:c>
      <x:c r="I37" t="s">
        <x:v>734</x:v>
      </x:c>
      <x:c r="K37" t="s">
        <x:v>486</x:v>
      </x:c>
      <x:c r="L37" t="s">
        <x:v>760</x:v>
      </x:c>
      <x:c r="M37" t="s">
        <x:v>761</x:v>
      </x:c>
    </x:row>
    <x:row r="38">
      <x:c r="A38" t="s">
        <x:v>494</x:v>
      </x:c>
      <x:c r="B38" t="s">
        <x:v>730</x:v>
      </x:c>
      <x:c r="E38" t="str">
        <x:v>First Army V-iota</x:v>
      </x:c>
      <x:c r="F38" t="s">
        <x:v>762</x:v>
      </x:c>
      <x:c r="H38" t="s">
        <x:v>763</x:v>
      </x:c>
      <x:c r="I38" t="s">
        <x:v>590</x:v>
      </x:c>
      <x:c r="K38" t="s">
        <x:v>518</x:v>
      </x:c>
      <x:c r="L38" t="s">
        <x:v>764</x:v>
      </x:c>
      <x:c r="M38" t="s">
        <x:v>765</x:v>
      </x:c>
      <x:c r="N38" t="s">
        <x:v>766</x:v>
      </x:c>
      <x:c r="O38" t="s">
        <x:v>767</x:v>
      </x:c>
    </x:row>
    <x:row r="39">
      <x:c r="A39" t="s">
        <x:v>494</x:v>
      </x:c>
      <x:c r="B39" t="s">
        <x:v>730</x:v>
      </x:c>
      <x:c r="E39" t="str">
        <x:v>First Army V-iota</x:v>
      </x:c>
      <x:c r="F39" t="s">
        <x:v>762</x:v>
      </x:c>
      <x:c r="H39" t="s">
        <x:v>768</x:v>
      </x:c>
      <x:c r="I39" t="s">
        <x:v>590</x:v>
      </x:c>
      <x:c r="K39" t="s">
        <x:v>518</x:v>
      </x:c>
      <x:c r="L39" t="s">
        <x:v>769</x:v>
      </x:c>
      <x:c r="M39" t="s">
        <x:v>770</x:v>
      </x:c>
      <x:c r="N39" t="s">
        <x:v>771</x:v>
      </x:c>
      <x:c r="O39" t="s">
        <x:v>772</x:v>
      </x:c>
    </x:row>
    <x:row r="40">
      <x:c r="A40" t="s">
        <x:v>494</x:v>
      </x:c>
      <x:c r="B40" t="s">
        <x:v>730</x:v>
      </x:c>
      <x:c r="E40" t="str">
        <x:v>First Army V-iota</x:v>
      </x:c>
      <x:c r="F40" t="s">
        <x:v>762</x:v>
      </x:c>
      <x:c r="H40" t="s">
        <x:v>773</x:v>
      </x:c>
      <x:c r="I40" t="s">
        <x:v>753</x:v>
      </x:c>
      <x:c r="K40" t="s">
        <x:v>490</x:v>
      </x:c>
      <x:c r="L40" t="s">
        <x:v>774</x:v>
      </x:c>
      <x:c r="M40" t="s">
        <x:v>775</x:v>
      </x:c>
      <x:c r="N40" t="s">
        <x:v>776</x:v>
      </x:c>
      <x:c r="O40" t="s">
        <x:v>777</x:v>
      </x:c>
    </x:row>
    <x:row r="41">
      <x:c r="A41" t="s">
        <x:v>494</x:v>
      </x:c>
      <x:c r="B41" t="s">
        <x:v>730</x:v>
      </x:c>
      <x:c r="E41" t="str">
        <x:v>Fourth Army V-nu “The Defenders of Honor”</x:v>
      </x:c>
      <x:c r="F41" t="s">
        <x:v>778</x:v>
      </x:c>
      <x:c r="H41" t="s">
        <x:v>779</x:v>
      </x:c>
      <x:c r="I41" t="s">
        <x:v>734</x:v>
      </x:c>
      <x:c r="K41" t="s">
        <x:v>486</x:v>
      </x:c>
      <x:c r="L41" t="s">
        <x:v>780</x:v>
      </x:c>
      <x:c r="M41" t="s">
        <x:v>781</x:v>
      </x:c>
      <x:c r="N41" t="s">
        <x:v>782</x:v>
      </x:c>
      <x:c r="O41" t="s">
        <x:v>783</x:v>
      </x:c>
    </x:row>
    <x:row r="42">
      <x:c r="A42" t="s">
        <x:v>494</x:v>
      </x:c>
      <x:c r="B42" t="s">
        <x:v>730</x:v>
      </x:c>
      <x:c r="E42" t="str">
        <x:v>Sixth Army V-pi</x:v>
      </x:c>
      <x:c r="F42" t="s">
        <x:v>784</x:v>
      </x:c>
      <x:c r="G42" t="s">
        <x:v>785</x:v>
      </x:c>
      <x:c r="H42" t="s">
        <x:v>786</x:v>
      </x:c>
      <x:c r="I42" t="s">
        <x:v>549</x:v>
      </x:c>
      <x:c r="K42" t="s">
        <x:v>477</x:v>
      </x:c>
      <x:c r="L42" t="s">
        <x:v>787</x:v>
      </x:c>
      <x:c r="M42" t="s">
        <x:v>788</x:v>
      </x:c>
      <x:c r="N42" t="s">
        <x:v>789</x:v>
      </x:c>
      <x:c r="O42" t="s">
        <x:v>790</x:v>
      </x:c>
    </x:row>
    <x:row r="43">
      <x:c r="A43" t="s">
        <x:v>494</x:v>
      </x:c>
      <x:c r="B43" t="s">
        <x:v>730</x:v>
      </x:c>
      <x:c r="E43" t="str">
        <x:v>Sixth Army V-pi</x:v>
      </x:c>
      <x:c r="F43" t="s">
        <x:v>784</x:v>
      </x:c>
      <x:c r="G43" t="s">
        <x:v>785</x:v>
      </x:c>
      <x:c r="H43" t="s">
        <x:v>791</x:v>
      </x:c>
      <x:c r="I43" t="s">
        <x:v>753</x:v>
      </x:c>
      <x:c r="K43" t="s">
        <x:v>513</x:v>
      </x:c>
      <x:c r="L43" t="s">
        <x:v>792</x:v>
      </x:c>
      <x:c r="M43" t="s">
        <x:v>793</x:v>
      </x:c>
      <x:c r="N43" t="s">
        <x:v>794</x:v>
      </x:c>
    </x:row>
    <x:row r="44">
      <x:c r="A44" t="s">
        <x:v>494</x:v>
      </x:c>
      <x:c r="B44" t="s">
        <x:v>730</x:v>
      </x:c>
      <x:c r="E44" t="str">
        <x:v>Sixth Army V-pi</x:v>
      </x:c>
      <x:c r="F44" t="s">
        <x:v>784</x:v>
      </x:c>
      <x:c r="G44" t="s">
        <x:v>785</x:v>
      </x:c>
      <x:c r="H44" t="s">
        <x:v>795</x:v>
      </x:c>
      <x:c r="I44" t="s">
        <x:v>734</x:v>
      </x:c>
      <x:c r="K44" t="s">
        <x:v>472</x:v>
      </x:c>
      <x:c r="L44" t="s">
        <x:v>796</x:v>
      </x:c>
      <x:c r="M44" t="s">
        <x:v>797</x:v>
      </x:c>
      <x:c r="N44" t="s">
        <x:v>798</x:v>
      </x:c>
    </x:row>
    <x:row r="45">
      <x:c r="A45" t="s">
        <x:v>494</x:v>
      </x:c>
      <x:c r="B45" t="s">
        <x:v>730</x:v>
      </x:c>
      <x:c r="E45" t="str">
        <x:v>Sixth Army V-pi</x:v>
      </x:c>
      <x:c r="F45" t="s">
        <x:v>784</x:v>
      </x:c>
      <x:c r="G45" t="s">
        <x:v>785</x:v>
      </x:c>
      <x:c r="H45" t="s">
        <x:v>799</x:v>
      </x:c>
      <x:c r="I45" t="s">
        <x:v>734</x:v>
      </x:c>
      <x:c r="K45" t="s">
        <x:v>498</x:v>
      </x:c>
      <x:c r="L45" t="s">
        <x:v>757</x:v>
      </x:c>
      <x:c r="M45" t="s">
        <x:v>800</x:v>
      </x:c>
      <x:c r="N45" t="s">
        <x:v>801</x:v>
      </x:c>
      <x:c r="O45" t="s">
        <x:v>801</x:v>
      </x:c>
    </x:row>
    <x:row r="46">
      <x:c r="A46" t="s">
        <x:v>494</x:v>
      </x:c>
      <x:c r="B46" t="s">
        <x:v>730</x:v>
      </x:c>
      <x:c r="E46" t="str">
        <x:v>Seventh Army V-iota "The Dark Wave"</x:v>
      </x:c>
      <x:c r="F46" t="s">
        <x:v>802</x:v>
      </x:c>
      <x:c r="G46" t="s">
        <x:v>803</x:v>
      </x:c>
      <x:c r="H46" t="s">
        <x:v>804</x:v>
      </x:c>
      <x:c r="I46" t="s">
        <x:v>590</x:v>
      </x:c>
      <x:c r="K46" t="s">
        <x:v>507</x:v>
      </x:c>
      <x:c r="L46" t="s">
        <x:v>805</x:v>
      </x:c>
      <x:c r="M46" t="s">
        <x:v>806</x:v>
      </x:c>
      <x:c r="O46" t="s">
        <x:v>807</x:v>
      </x:c>
    </x:row>
    <x:row r="47">
      <x:c r="A47" t="s">
        <x:v>494</x:v>
      </x:c>
      <x:c r="B47" t="s">
        <x:v>730</x:v>
      </x:c>
      <x:c r="E47" t="str">
        <x:v>Seventh Army V-iota "The Dark Wave"</x:v>
      </x:c>
      <x:c r="F47" t="s">
        <x:v>802</x:v>
      </x:c>
      <x:c r="G47" t="s">
        <x:v>803</x:v>
      </x:c>
      <x:c r="H47" t="s">
        <x:v>808</x:v>
      </x:c>
      <x:c r="I47" t="s">
        <x:v>734</x:v>
      </x:c>
      <x:c r="K47" t="s">
        <x:v>522</x:v>
      </x:c>
      <x:c r="L47" t="s">
        <x:v>809</x:v>
      </x:c>
      <x:c r="M47" t="s">
        <x:v>810</x:v>
      </x:c>
      <x:c r="O47" t="s">
        <x:v>811</x:v>
      </x:c>
    </x:row>
    <x:row r="48">
      <x:c r="A48" t="s">
        <x:v>494</x:v>
      </x:c>
      <x:c r="B48" t="s">
        <x:v>730</x:v>
      </x:c>
      <x:c r="E48" t="str">
        <x:v>Seventh Army V-iota "The Dark Wave"</x:v>
      </x:c>
      <x:c r="F48" t="s">
        <x:v>802</x:v>
      </x:c>
      <x:c r="G48" t="s">
        <x:v>803</x:v>
      </x:c>
      <x:c r="H48" t="s">
        <x:v>812</x:v>
      </x:c>
      <x:c r="I48" t="s">
        <x:v>590</x:v>
      </x:c>
      <x:c r="K48" t="s">
        <x:v>502</x:v>
      </x:c>
      <x:c r="L48" t="s">
        <x:v>813</x:v>
      </x:c>
      <x:c r="M48" t="s">
        <x:v>814</x:v>
      </x:c>
      <x:c r="O48" t="s">
        <x:v>815</x:v>
      </x:c>
    </x:row>
    <x:row r="49">
      <x:c r="A49" t="s">
        <x:v>494</x:v>
      </x:c>
      <x:c r="B49" t="s">
        <x:v>730</x:v>
      </x:c>
      <x:c r="E49" t="str">
        <x:v>Seventh Army V-iota "The Dark Wave"</x:v>
      </x:c>
      <x:c r="F49" t="s">
        <x:v>802</x:v>
      </x:c>
      <x:c r="G49" t="s">
        <x:v>803</x:v>
      </x:c>
      <x:c r="H49" t="s">
        <x:v>816</x:v>
      </x:c>
      <x:c r="I49" t="s">
        <x:v>753</x:v>
      </x:c>
      <x:c r="K49" t="s">
        <x:v>507</x:v>
      </x:c>
      <x:c r="M49" t="s">
        <x:v>817</x:v>
      </x:c>
      <x:c r="O49" t="s">
        <x:v>818</x:v>
      </x:c>
    </x:row>
    <x:row r="50">
      <x:c r="A50" t="s">
        <x:v>494</x:v>
      </x:c>
      <x:c r="B50" t="s">
        <x:v>730</x:v>
      </x:c>
      <x:c r="E50" t="str">
        <x:v>Second Army V-lambda</x:v>
      </x:c>
      <x:c r="F50" t="s">
        <x:v>819</x:v>
      </x:c>
      <x:c r="H50" t="s">
        <x:v>820</x:v>
      </x:c>
      <x:c r="I50" t="s">
        <x:v>590</x:v>
      </x:c>
      <x:c r="K50" t="s">
        <x:v>472</x:v>
      </x:c>
      <x:c r="L50" t="s">
        <x:v>821</x:v>
      </x:c>
      <x:c r="M50" t="s">
        <x:v>822</x:v>
      </x:c>
    </x:row>
    <x:row r="51">
      <x:c r="A51" t="s">
        <x:v>494</x:v>
      </x:c>
      <x:c r="B51" t="s">
        <x:v>730</x:v>
      </x:c>
      <x:c r="E51" t="str">
        <x:v>Third Army V-iota</x:v>
      </x:c>
      <x:c r="F51" t="s">
        <x:v>823</x:v>
      </x:c>
      <x:c r="H51" t="s">
        <x:v>824</x:v>
      </x:c>
      <x:c r="I51" t="s">
        <x:v>734</x:v>
      </x:c>
      <x:c r="K51" t="s">
        <x:v>498</x:v>
      </x:c>
      <x:c r="L51" t="s">
        <x:v>825</x:v>
      </x:c>
      <x:c r="M51" t="s">
        <x:v>826</x:v>
      </x:c>
      <x:c r="O51" t="s">
        <x:v>827</x:v>
      </x:c>
    </x:row>
    <x:row r="52">
      <x:c r="A52" t="s">
        <x:v>494</x:v>
      </x:c>
      <x:c r="B52" t="s">
        <x:v>730</x:v>
      </x:c>
      <x:c r="E52" t="str">
        <x:v>Eleventh Army V-lambda</x:v>
      </x:c>
      <x:c r="F52" t="s">
        <x:v>828</x:v>
      </x:c>
      <x:c r="H52" t="s">
        <x:v>829</x:v>
      </x:c>
      <x:c r="I52" t="s">
        <x:v>753</x:v>
      </x:c>
      <x:c r="K52" t="s">
        <x:v>480</x:v>
      </x:c>
      <x:c r="L52" t="s">
        <x:v>830</x:v>
      </x:c>
      <x:c r="M52" t="s">
        <x:v>831</x:v>
      </x:c>
      <x:c r="O52" t="s">
        <x:v>832</x:v>
      </x:c>
    </x:row>
    <x:row r="53">
      <x:c r="A53" t="s">
        <x:v>494</x:v>
      </x:c>
      <x:c r="B53" t="s">
        <x:v>730</x:v>
      </x:c>
      <x:c r="E53" t="str">
        <x:v>Twelfth Army V-iota</x:v>
      </x:c>
      <x:c r="F53" t="s">
        <x:v>833</x:v>
      </x:c>
      <x:c r="H53" t="s">
        <x:v>834</x:v>
      </x:c>
      <x:c r="I53" t="s">
        <x:v>590</x:v>
      </x:c>
      <x:c r="K53" t="s">
        <x:v>502</x:v>
      </x:c>
      <x:c r="L53" t="s">
        <x:v>835</x:v>
      </x:c>
      <x:c r="M53" t="s">
        <x:v>836</x:v>
      </x:c>
    </x:row>
    <x:row r="54">
      <x:c r="A54" t="s">
        <x:v>494</x:v>
      </x:c>
      <x:c r="B54" t="s">
        <x:v>730</x:v>
      </x:c>
      <x:c r="E54" t="str">
        <x:v>Ninth Army V-lambda</x:v>
      </x:c>
      <x:c r="F54" t="s">
        <x:v>837</x:v>
      </x:c>
      <x:c r="G54" t="s">
        <x:v>838</x:v>
      </x:c>
      <x:c r="H54" t="s">
        <x:v>839</x:v>
      </x:c>
      <x:c r="I54" t="s">
        <x:v>734</x:v>
      </x:c>
      <x:c r="K54" t="s">
        <x:v>512</x:v>
      </x:c>
      <x:c r="L54" t="s">
        <x:v>809</x:v>
      </x:c>
      <x:c r="M54" t="s">
        <x:v>840</x:v>
      </x:c>
      <x:c r="N54" t="s">
        <x:v>841</x:v>
      </x:c>
      <x:c r="O54" t="s">
        <x:v>842</x:v>
      </x:c>
    </x:row>
    <x:row r="55">
      <x:c r="A55" t="s">
        <x:v>494</x:v>
      </x:c>
      <x:c r="B55" t="s">
        <x:v>730</x:v>
      </x:c>
      <x:c r="D55" s="10"/>
      <x:c r="E55" t="str">
        <x:v>Ninth Army V-lambda</x:v>
      </x:c>
      <x:c r="F55" t="s">
        <x:v>837</x:v>
      </x:c>
      <x:c r="G55" t="s">
        <x:v>838</x:v>
      </x:c>
      <x:c r="H55" t="s">
        <x:v>843</x:v>
      </x:c>
      <x:c r="I55" t="s">
        <x:v>734</x:v>
      </x:c>
      <x:c r="K55" t="s">
        <x:v>525</x:v>
      </x:c>
      <x:c r="L55" t="s">
        <x:v>844</x:v>
      </x:c>
      <x:c r="M55" t="s">
        <x:v>845</x:v>
      </x:c>
      <x:c r="N55" t="s">
        <x:v>846</x:v>
      </x:c>
      <x:c r="O55" t="s">
        <x:v>842</x:v>
      </x:c>
    </x:row>
    <x:row r="56">
      <x:c r="A56" t="s">
        <x:v>494</x:v>
      </x:c>
      <x:c r="B56" t="s">
        <x:v>730</x:v>
      </x:c>
      <x:c r="D56" s="10"/>
      <x:c r="E56" t="str">
        <x:v>Tenth Army V-nu</x:v>
      </x:c>
      <x:c r="F56" t="s">
        <x:v>847</x:v>
      </x:c>
      <x:c r="G56" t="s">
        <x:v>848</x:v>
      </x:c>
      <x:c r="H56" t="s">
        <x:v>849</x:v>
      </x:c>
      <x:c r="I56" t="s">
        <x:v>549</x:v>
      </x:c>
      <x:c r="K56" t="s">
        <x:v>493</x:v>
      </x:c>
      <x:c r="L56" t="s">
        <x:v>850</x:v>
      </x:c>
      <x:c r="M56" t="s">
        <x:v>851</x:v>
      </x:c>
    </x:row>
    <x:row r="57">
      <x:c r="A57" t="s">
        <x:v>494</x:v>
      </x:c>
      <x:c r="B57" t="s">
        <x:v>730</x:v>
      </x:c>
      <x:c r="E57" t="str">
        <x:v>Tenth Army V-nu</x:v>
      </x:c>
      <x:c r="F57" t="s">
        <x:v>847</x:v>
      </x:c>
      <x:c r="G57" t="s">
        <x:v>848</x:v>
      </x:c>
      <x:c r="H57" t="s">
        <x:v>852</x:v>
      </x:c>
      <x:c r="I57" t="s">
        <x:v>590</x:v>
      </x:c>
      <x:c r="K57" t="s">
        <x:v>522</x:v>
      </x:c>
      <x:c r="L57" t="s">
        <x:v>853</x:v>
      </x:c>
      <x:c r="M57" t="s">
        <x:v>854</x:v>
      </x:c>
      <x:c r="N57" t="s">
        <x:v>855</x:v>
      </x:c>
      <x:c r="O57" t="s">
        <x:v>856</x:v>
      </x:c>
    </x:row>
  </x:sheetData>
  <x:pageMargins left="0.7" right="0.7" top="0.75" bottom="0.75" header="0.3" footer="0.3"/>
  <x:tableParts count="1">
    <x:tablePart xmlns:r="http://schemas.openxmlformats.org/officeDocument/2006/relationships" r:id="R1f756b1357b5415f"/>
  </x:tableParts>
</x:worksheet>
</file>

<file path=xl/worksheets/sheet10.xml><?xml version="1.0" encoding="utf-8"?>
<x:worksheet xmlns:x="http://schemas.openxmlformats.org/spreadsheetml/2006/main">
  <x:sheetFormatPr defaultRowHeight="15"/>
  <x:cols>
    <x:col min="1" max="1" width="19.28515625" customWidth="1"/>
    <x:col min="2" max="2" width="36.85546875" customWidth="1"/>
    <x:col min="3" max="3" width="40.140625" customWidth="1"/>
    <x:col min="4" max="4" width="42.85546875" customWidth="1"/>
  </x:cols>
  <x:sheetData>
    <x:row r="1">
      <x:c r="A1" t="s">
        <x:v>857</x:v>
      </x:c>
      <x:c r="B1" t="s">
        <x:v>858</x:v>
      </x:c>
      <x:c r="C1" t="s">
        <x:v>859</x:v>
      </x:c>
      <x:c r="D1" t="s">
        <x:v>860</x:v>
      </x:c>
    </x:row>
    <x:row r="2">
      <x:c r="A2" s="59" t="s">
        <x:v>14</x:v>
      </x:c>
      <x:c r="B2" s="59" t="s">
        <x:v>546</x:v>
      </x:c>
      <x:c r="C2" s="59" t="s">
        <x:v>731</x:v>
      </x:c>
      <x:c r="D2" s="74" t="s">
        <x:v>733</x:v>
      </x:c>
    </x:row>
    <x:row r="3">
      <x:c r="A3" t="s">
        <x:v>14</x:v>
      </x:c>
      <x:c r="B3" t="s">
        <x:v>546</x:v>
      </x:c>
      <x:c r="C3" t="s">
        <x:v>731</x:v>
      </x:c>
      <x:c r="D3" s="74" t="s">
        <x:v>737</x:v>
      </x:c>
    </x:row>
    <x:row r="4">
      <x:c r="A4" s="59" t="s">
        <x:v>14</x:v>
      </x:c>
      <x:c r="B4" s="59" t="s">
        <x:v>557</x:v>
      </x:c>
      <x:c r="C4" s="59" t="s">
        <x:v>731</x:v>
      </x:c>
      <x:c r="D4" s="74" t="s">
        <x:v>740</x:v>
      </x:c>
    </x:row>
    <x:row r="5">
      <x:c r="A5" t="s">
        <x:v>14</x:v>
      </x:c>
      <x:c r="B5" t="s">
        <x:v>557</x:v>
      </x:c>
      <x:c r="C5" t="s">
        <x:v>731</x:v>
      </x:c>
      <x:c r="D5" s="74" t="s">
        <x:v>744</x:v>
      </x:c>
    </x:row>
    <x:row r="6">
      <x:c r="A6" s="59" t="s">
        <x:v>21</x:v>
      </x:c>
      <x:c r="B6" s="59" t="s">
        <x:v>570</x:v>
      </x:c>
      <x:c r="C6" s="59" t="str">
        <x:v>Eighth Army V-pi</x:v>
      </x:c>
      <x:c r="D6" s="74" t="s">
        <x:v>748</x:v>
      </x:c>
    </x:row>
    <x:row r="7">
      <x:c r="A7" t="s">
        <x:v>21</x:v>
      </x:c>
      <x:c r="B7" t="s">
        <x:v>570</x:v>
      </x:c>
      <x:c r="C7" t="str">
        <x:v>Eighth Army V-pi</x:v>
      </x:c>
      <x:c r="D7" s="74" t="s">
        <x:v>752</x:v>
      </x:c>
    </x:row>
    <x:row r="8">
      <x:c r="A8" s="59" t="s">
        <x:v>21</x:v>
      </x:c>
      <x:c r="B8" s="59" t="s">
        <x:v>581</x:v>
      </x:c>
      <x:c r="C8" s="59" t="str">
        <x:v>Eighth Army V-pi</x:v>
      </x:c>
      <x:c r="D8" s="74" t="s">
        <x:v>756</x:v>
      </x:c>
    </x:row>
    <x:row r="9">
      <x:c r="A9" t="s">
        <x:v>21</x:v>
      </x:c>
      <x:c r="B9" t="s">
        <x:v>587</x:v>
      </x:c>
      <x:c r="C9" t="str">
        <x:v>Eighth Army V-pi</x:v>
      </x:c>
      <x:c r="D9" s="74" t="s">
        <x:v>759</x:v>
      </x:c>
    </x:row>
    <x:row r="10">
      <x:c r="A10" s="59" t="s">
        <x:v>22</x:v>
      </x:c>
      <x:c r="B10" s="59" t="s">
        <x:v>597</x:v>
      </x:c>
      <x:c r="C10" s="59" t="str">
        <x:v>First Army V-iota</x:v>
      </x:c>
      <x:c r="D10" s="74" t="s">
        <x:v>763</x:v>
      </x:c>
    </x:row>
    <x:row r="11">
      <x:c r="A11" t="s">
        <x:v>22</x:v>
      </x:c>
      <x:c r="B11" t="s">
        <x:v>597</x:v>
      </x:c>
      <x:c r="C11" t="str">
        <x:v>First Army V-iota</x:v>
      </x:c>
      <x:c r="D11" s="74" t="s">
        <x:v>768</x:v>
      </x:c>
    </x:row>
    <x:row r="12">
      <x:c r="A12" s="59" t="s">
        <x:v>22</x:v>
      </x:c>
      <x:c r="B12" s="59" t="s">
        <x:v>610</x:v>
      </x:c>
      <x:c r="C12" s="59" t="str">
        <x:v>First Army V-iota</x:v>
      </x:c>
      <x:c r="D12" s="74" t="s">
        <x:v>773</x:v>
      </x:c>
    </x:row>
    <x:row r="13">
      <x:c r="A13" t="s">
        <x:v>22</x:v>
      </x:c>
      <x:c r="B13" t="s">
        <x:v>618</x:v>
      </x:c>
      <x:c r="C13" t="str">
        <x:v>Fourth Army V-nu “The Defenders of Honor”</x:v>
      </x:c>
      <x:c r="D13" s="74" t="s">
        <x:v>779</x:v>
      </x:c>
    </x:row>
    <x:row r="14">
      <x:c r="A14" s="59" t="s">
        <x:v>25</x:v>
      </x:c>
      <x:c r="B14" s="59" t="s">
        <x:v>629</x:v>
      </x:c>
      <x:c r="C14" s="59" t="str">
        <x:v>Sixth Army V-pi</x:v>
      </x:c>
      <x:c r="D14" s="74" t="s">
        <x:v>786</x:v>
      </x:c>
    </x:row>
    <x:row r="15">
      <x:c r="A15" t="s">
        <x:v>25</x:v>
      </x:c>
      <x:c r="B15" t="s">
        <x:v>629</x:v>
      </x:c>
      <x:c r="C15" t="str">
        <x:v>Sixth Army V-pi</x:v>
      </x:c>
      <x:c r="D15" s="74" t="s">
        <x:v>791</x:v>
      </x:c>
    </x:row>
    <x:row r="16">
      <x:c r="A16" s="59" t="s">
        <x:v>25</x:v>
      </x:c>
      <x:c r="B16" s="59" t="s">
        <x:v>640</x:v>
      </x:c>
      <x:c r="C16" s="59" t="str">
        <x:v>Sixth Army V-pi</x:v>
      </x:c>
      <x:c r="D16" s="74" t="s">
        <x:v>795</x:v>
      </x:c>
    </x:row>
    <x:row r="17">
      <x:c r="A17" t="s">
        <x:v>25</x:v>
      </x:c>
      <x:c r="B17" t="s">
        <x:v>646</x:v>
      </x:c>
      <x:c r="C17" t="str">
        <x:v>Sixth Army V-pi</x:v>
      </x:c>
      <x:c r="D17" s="74" t="s">
        <x:v>799</x:v>
      </x:c>
    </x:row>
    <x:row r="18">
      <x:c r="A18" s="59" t="s">
        <x:v>24</x:v>
      </x:c>
      <x:c r="B18" s="59" t="s">
        <x:v>657</x:v>
      </x:c>
      <x:c r="C18" s="59" t="str">
        <x:v>Seventh Army V-iota "The Dark Wave"</x:v>
      </x:c>
      <x:c r="D18" s="74" t="s">
        <x:v>804</x:v>
      </x:c>
    </x:row>
    <x:row r="19">
      <x:c r="A19" t="s">
        <x:v>24</x:v>
      </x:c>
      <x:c r="B19" t="s">
        <x:v>657</x:v>
      </x:c>
      <x:c r="C19" t="str">
        <x:v>Seventh Army V-iota "The Dark Wave"</x:v>
      </x:c>
      <x:c r="D19" s="74" t="s">
        <x:v>808</x:v>
      </x:c>
    </x:row>
    <x:row r="20">
      <x:c r="A20" s="59" t="s">
        <x:v>24</x:v>
      </x:c>
      <x:c r="B20" s="59" t="s">
        <x:v>666</x:v>
      </x:c>
      <x:c r="C20" s="59" t="str">
        <x:v>Seventh Army V-iota "The Dark Wave"</x:v>
      </x:c>
      <x:c r="D20" s="74" t="s">
        <x:v>812</x:v>
      </x:c>
    </x:row>
    <x:row r="21">
      <x:c r="A21" t="s">
        <x:v>24</x:v>
      </x:c>
      <x:c r="B21" t="s">
        <x:v>672</x:v>
      </x:c>
      <x:c r="C21" t="str">
        <x:v>Seventh Army V-iota "The Dark Wave"</x:v>
      </x:c>
      <x:c r="D21" s="74" t="s">
        <x:v>816</x:v>
      </x:c>
    </x:row>
    <x:row r="22">
      <x:c r="A22" s="59" t="s">
        <x:v>677</x:v>
      </x:c>
      <x:c r="B22" s="59" t="s">
        <x:v>681</x:v>
      </x:c>
      <x:c r="C22" s="59" t="str">
        <x:v>Second Army V-lambda</x:v>
      </x:c>
      <x:c r="D22" s="74" t="s">
        <x:v>820</x:v>
      </x:c>
    </x:row>
    <x:row r="23">
      <x:c r="A23" t="s">
        <x:v>677</x:v>
      </x:c>
      <x:c r="B23" t="s">
        <x:v>681</x:v>
      </x:c>
      <x:c r="C23" t="str">
        <x:v>Third Army V-iota</x:v>
      </x:c>
      <x:c r="D23" s="74" t="s">
        <x:v>824</x:v>
      </x:c>
    </x:row>
    <x:row r="24">
      <x:c r="A24" s="59" t="s">
        <x:v>677</x:v>
      </x:c>
      <x:c r="B24" s="59" t="s">
        <x:v>693</x:v>
      </x:c>
      <x:c r="C24" s="59" t="str">
        <x:v>Eleventh Army V-lambda</x:v>
      </x:c>
      <x:c r="D24" s="74" t="s">
        <x:v>829</x:v>
      </x:c>
    </x:row>
    <x:row r="25">
      <x:c r="A25" t="s">
        <x:v>677</x:v>
      </x:c>
      <x:c r="B25" t="s">
        <x:v>693</x:v>
      </x:c>
      <x:c r="C25" t="str">
        <x:v>Twelfth Army V-iota</x:v>
      </x:c>
      <x:c r="D25" s="74" t="s">
        <x:v>834</x:v>
      </x:c>
    </x:row>
    <x:row r="26">
      <x:c r="A26" s="59" t="s">
        <x:v>701</x:v>
      </x:c>
      <x:c r="B26" s="59" t="s">
        <x:v>705</x:v>
      </x:c>
      <x:c r="C26" s="59" t="str">
        <x:v>Ninth Army V-lambda</x:v>
      </x:c>
      <x:c r="D26" s="74" t="s">
        <x:v>839</x:v>
      </x:c>
    </x:row>
    <x:row r="27">
      <x:c r="A27" t="s">
        <x:v>701</x:v>
      </x:c>
      <x:c r="B27" t="s">
        <x:v>711</x:v>
      </x:c>
      <x:c r="C27" t="str">
        <x:v>Ninth Army V-lambda</x:v>
      </x:c>
      <x:c r="D27" s="74" t="s">
        <x:v>843</x:v>
      </x:c>
    </x:row>
    <x:row r="28">
      <x:c r="A28" s="59" t="s">
        <x:v>701</x:v>
      </x:c>
      <x:c r="B28" s="59" t="s">
        <x:v>715</x:v>
      </x:c>
      <x:c r="C28" s="59" t="str">
        <x:v>Tenth Army V-nu</x:v>
      </x:c>
      <x:c r="D28" s="74" t="s">
        <x:v>849</x:v>
      </x:c>
    </x:row>
    <x:row r="29">
      <x:c r="A29" t="s">
        <x:v>701</x:v>
      </x:c>
      <x:c r="B29" t="s">
        <x:v>723</x:v>
      </x:c>
      <x:c r="C29" s="60" t="str">
        <x:v>Tenth Army V-nu</x:v>
      </x:c>
      <x:c r="D29" s="74" t="s">
        <x:v>852</x:v>
      </x:c>
    </x:row>
  </x:sheetData>
  <x:pageMargins left="0.7" right="0.7" top="0.75" bottom="0.75" header="0.3" footer="0.3"/>
  <x:tableParts count="1">
    <x:tablePart xmlns:r="http://schemas.openxmlformats.org/officeDocument/2006/relationships" r:id="R98e68192fb734cef"/>
  </x:tableParts>
</x:worksheet>
</file>

<file path=xl/worksheets/sheet11.xml><?xml version="1.0" encoding="utf-8"?>
<x:worksheet xmlns:x="http://schemas.openxmlformats.org/spreadsheetml/2006/main">
  <x:sheetFormatPr defaultRowHeight="15"/>
  <x:cols>
    <x:col min="1" max="1" width="25" hidden="0" customWidth="1"/>
    <x:col min="2" max="4" width="13" customWidth="1"/>
    <x:col min="5" max="5" width="3" customWidth="1"/>
    <x:col min="6" max="6" width="38" hidden="0" customWidth="1"/>
    <x:col min="7" max="9" width="13" customWidth="1"/>
    <x:col min="2" max="2" width="30" hidden="0" customWidth="1"/>
    <x:col min="3" max="3" width="35" hidden="0" customWidth="1"/>
    <x:col min="4" max="4" width="55" hidden="0" customWidth="1"/>
    <x:col min="7" max="7" width="17" hidden="0" customWidth="1"/>
    <x:col min="8" max="8" width="9" hidden="0" customWidth="1"/>
    <x:col min="9" max="9" width="12" hidden="0" customWidth="1"/>
    <x:col min="10" max="10" width="13" hidden="0" customWidth="1"/>
    <x:col min="11" max="11" width="13" hidden="0" customWidth="1"/>
    <x:col min="12" max="12" width="16" hidden="0" customWidth="1"/>
    <x:col min="13" max="13" width="10" hidden="0" customWidth="1"/>
    <x:col min="14" max="14" width="13" hidden="0" customWidth="1"/>
  </x:cols>
  <x:sheetData>
    <x:row r="1" ht="26.100000381469727" customHeight="1">
      <x:c r="A1" s="61" t="s">
        <x:v>861</x:v>
      </x:c>
      <x:c r="B1" s="61"/>
      <x:c r="C1" s="61"/>
      <x:c r="D1" s="61"/>
      <x:c r="E1" s="22"/>
      <x:c r="F1" s="61" t="s">
        <x:v>862</x:v>
      </x:c>
      <x:c r="G1" s="61"/>
      <x:c r="H1" s="61"/>
      <x:c r="I1" s="61"/>
    </x:row>
    <x:row r="2">
      <x:c r="A2" t="s">
        <x:v>863</x:v>
      </x:c>
      <x:c r="B2" t="s">
        <x:v>590</x:v>
      </x:c>
      <x:c r="C2" t="s">
        <x:v>549</x:v>
      </x:c>
      <x:c r="D2" t="s">
        <x:v>864</x:v>
      </x:c>
      <x:c r="F2" t="s">
        <x:v>865</x:v>
      </x:c>
      <x:c r="G2" t="s">
        <x:v>734</x:v>
      </x:c>
      <x:c r="H2" t="s">
        <x:v>590</x:v>
      </x:c>
      <x:c r="I2" t="s">
        <x:v>549</x:v>
      </x:c>
    </x:row>
    <x:row r="3">
      <x:c r="A3" t="s">
        <x:v>866</x:v>
      </x:c>
      <x:c r="B3">
        <x:v>12</x:v>
      </x:c>
      <x:c r="C3">
        <x:v>14</x:v>
      </x:c>
      <x:c r="D3">
        <x:v>15</x:v>
      </x:c>
      <x:c r="F3" t="s">
        <x:v>867</x:v>
      </x:c>
      <x:c r="G3">
        <x:v>6</x:v>
      </x:c>
      <x:c r="H3">
        <x:v>8</x:v>
      </x:c>
      <x:c r="I3">
        <x:v>10</x:v>
      </x:c>
    </x:row>
    <x:row r="4">
      <x:c r="A4" t="s">
        <x:v>868</x:v>
      </x:c>
      <x:c r="B4">
        <x:v>18</x:v>
      </x:c>
      <x:c r="C4">
        <x:v>20</x:v>
      </x:c>
      <x:c r="D4">
        <x:v>22</x:v>
      </x:c>
      <x:c r="F4" t="s">
        <x:v>869</x:v>
      </x:c>
      <x:c r="G4">
        <x:v>10</x:v>
      </x:c>
      <x:c r="H4">
        <x:v>12</x:v>
      </x:c>
      <x:c r="I4">
        <x:v>14</x:v>
      </x:c>
    </x:row>
    <x:row r="5">
      <x:c r="A5" t="s">
        <x:v>870</x:v>
      </x:c>
      <x:c r="B5">
        <x:v>26</x:v>
      </x:c>
      <x:c r="C5">
        <x:v>30</x:v>
      </x:c>
      <x:c r="D5">
        <x:v>32</x:v>
      </x:c>
      <x:c r="F5" t="s">
        <x:v>871</x:v>
      </x:c>
      <x:c r="G5">
        <x:v>14</x:v>
      </x:c>
      <x:c r="H5">
        <x:v>17</x:v>
      </x:c>
      <x:c r="I5">
        <x:v>19</x:v>
      </x:c>
    </x:row>
    <x:row r="6">
      <x:c r="A6" t="s">
        <x:v>872</x:v>
      </x:c>
      <x:c r="B6">
        <x:v>32</x:v>
      </x:c>
      <x:c r="C6">
        <x:v>37</x:v>
      </x:c>
      <x:c r="D6">
        <x:v>39</x:v>
      </x:c>
      <x:c r="F6" t="s">
        <x:v>873</x:v>
      </x:c>
      <x:c r="G6">
        <x:v>17</x:v>
      </x:c>
      <x:c r="H6">
        <x:v>22</x:v>
      </x:c>
      <x:c r="I6">
        <x:v>25</x:v>
      </x:c>
    </x:row>
    <x:row r="7">
      <x:c r="A7" t="s">
        <x:v>874</x:v>
      </x:c>
      <x:c r="B7">
        <x:v>10</x:v>
      </x:c>
      <x:c r="C7">
        <x:v>12</x:v>
      </x:c>
      <x:c r="D7">
        <x:v>13</x:v>
      </x:c>
    </x:row>
    <x:row r="8">
      <x:c r="A8" t="s">
        <x:v>875</x:v>
      </x:c>
      <x:c r="B8">
        <x:v>15</x:v>
      </x:c>
      <x:c r="C8">
        <x:v>18</x:v>
      </x:c>
      <x:c r="D8">
        <x:v>19</x:v>
      </x:c>
    </x:row>
    <x:row r="9" ht="26.100000381469727" customHeight="1">
      <x:c r="A9" t="s">
        <x:v>876</x:v>
      </x:c>
      <x:c r="B9">
        <x:v>22</x:v>
      </x:c>
      <x:c r="C9">
        <x:v>26</x:v>
      </x:c>
      <x:c r="D9">
        <x:v>28</x:v>
      </x:c>
      <x:c r="F9" s="63" t="s">
        <x:v>877</x:v>
      </x:c>
      <x:c r="G9" s="63"/>
      <x:c r="H9" s="63"/>
      <x:c r="I9" s="63"/>
    </x:row>
    <x:row r="10">
      <x:c r="A10" t="s">
        <x:v>878</x:v>
      </x:c>
      <x:c r="B10">
        <x:v>26</x:v>
      </x:c>
      <x:c r="C10">
        <x:v>31</x:v>
      </x:c>
      <x:c r="D10">
        <x:v>33</x:v>
      </x:c>
      <x:c r="F10" t="s">
        <x:v>879</x:v>
      </x:c>
      <x:c r="G10" t="s">
        <x:v>880</x:v>
      </x:c>
    </x:row>
    <x:row r="11">
      <x:c r="A11" t="s">
        <x:v>881</x:v>
      </x:c>
      <x:c r="B11">
        <x:v>4</x:v>
      </x:c>
      <x:c r="C11">
        <x:v>5</x:v>
      </x:c>
      <x:c r="D11">
        <x:v>6</x:v>
      </x:c>
      <x:c r="F11" t="s">
        <x:v>311</x:v>
      </x:c>
      <x:c r="G11">
        <x:v>4</x:v>
      </x:c>
    </x:row>
    <x:row r="12">
      <x:c r="F12" t="s">
        <x:v>882</x:v>
      </x:c>
      <x:c r="G12">
        <x:v>500</x:v>
      </x:c>
    </x:row>
    <x:row r="13">
      <x:c r="F13" t="s">
        <x:v>883</x:v>
      </x:c>
      <x:c r="G13">
        <x:v>20</x:v>
      </x:c>
    </x:row>
    <x:row r="14" ht="26.100000381469727" customHeight="1">
      <x:c r="A14" s="63" t="s">
        <x:v>884</x:v>
      </x:c>
      <x:c r="B14" s="63"/>
      <x:c r="C14" s="63"/>
    </x:row>
    <x:row r="15" ht="33.95000076293945" customHeight="1">
      <x:c r="A15" t="s">
        <x:v>885</x:v>
      </x:c>
      <x:c r="B15" t="s">
        <x:v>886</x:v>
      </x:c>
      <x:c r="C15" t="s">
        <x:v>887</x:v>
      </x:c>
      <x:c r="F15" s="64" t="s">
        <x:v>888</x:v>
      </x:c>
      <x:c r="G15" s="64"/>
      <x:c r="H15" s="64"/>
      <x:c r="I15" s="64"/>
    </x:row>
    <x:row r="16">
      <x:c r="A16" t="s">
        <x:v>734</x:v>
      </x:c>
      <x:c r="B16">
        <x:v>5</x:v>
      </x:c>
      <x:c r="C16">
        <x:v>4</x:v>
      </x:c>
    </x:row>
    <x:row r="17">
      <x:c r="A17" t="s">
        <x:v>590</x:v>
      </x:c>
      <x:c r="B17">
        <x:v>4</x:v>
      </x:c>
      <x:c r="C17">
        <x:v>3</x:v>
      </x:c>
    </x:row>
    <x:row r="18">
      <x:c r="A18" t="s">
        <x:v>549</x:v>
      </x:c>
      <x:c r="B18">
        <x:v>3</x:v>
      </x:c>
      <x:c r="C18">
        <x:v>2</x:v>
      </x:c>
    </x:row>
    <x:row r="19">
      <x:c r="A19" t="s">
        <x:v>864</x:v>
      </x:c>
      <x:c r="B19">
        <x:v>2</x:v>
      </x:c>
      <x:c r="C19">
        <x:v>1</x:v>
      </x:c>
    </x:row>
    <x:row r="21">
      <x:c r="A21" s="137" t="str">
        <x:v>BATTLEFIELD SUPPORT: COMBINED ARMS RULES / VALIDATION</x:v>
      </x:c>
      <x:c r="B21" s="137"/>
      <x:c r="C21" s="137"/>
      <x:c r="D21" s="137"/>
      <x:c r="E21" s="78"/>
      <x:c r="F21" s="137" t="str">
        <x:v>BATTLEFIELD SUPPORT TABLE: COMBINED ARMS</x:v>
      </x:c>
      <x:c r="G21" s="137"/>
      <x:c r="H21" s="137"/>
      <x:c r="I21" s="137"/>
      <x:c r="J21" s="137"/>
      <x:c r="K21" s="137"/>
      <x:c r="L21" s="137"/>
      <x:c r="M21" s="137"/>
      <x:c r="N21" s="137"/>
    </x:row>
    <x:row r="22" ht="28" customHeight="1">
      <x:c r="A22" s="78" t="str">
        <x:v>Rule / Constraint</x:v>
      </x:c>
      <x:c r="B22" s="78" t="str">
        <x:v>Value</x:v>
      </x:c>
      <x:c r="C22" s="78" t="str">
        <x:v>Validation Use</x:v>
      </x:c>
      <x:c r="D22" s="78" t="str">
        <x:v>Source / Notes</x:v>
      </x:c>
      <x:c r="E22" s="78"/>
      <x:c r="F22" s="78" t="str">
        <x:v>Support Type</x:v>
      </x:c>
      <x:c r="G22" s="78" t="str">
        <x:v>Movement Points (MP)</x:v>
      </x:c>
      <x:c r="H22" s="78" t="str">
        <x:v>TMM</x:v>
      </x:c>
      <x:c r="I22" s="78" t="str">
        <x:v>Range</x:v>
      </x:c>
      <x:c r="J22" s="78" t="str">
        <x:v>Target Number</x:v>
      </x:c>
      <x:c r="K22" s="78" t="str">
        <x:v>Damage Value</x:v>
      </x:c>
      <x:c r="L22" s="78" t="str">
        <x:v>Destroy Check TN</x:v>
      </x:c>
      <x:c r="M22" s="78" t="str">
        <x:v>BSP Cost</x:v>
      </x:c>
      <x:c r="N22" s="78" t="str">
        <x:v>Source Ref</x:v>
      </x:c>
    </x:row>
    <x:row r="23" ht="28" customHeight="1">
      <x:c r="A23" s="78" t="str">
        <x:v>Purchase timing</x:v>
      </x:c>
      <x:c r="B23" s="78" t="str">
        <x:v>Before play begins</x:v>
      </x:c>
      <x:c r="C23" s="78" t="str">
        <x:v>Lock selections at track start</x:v>
      </x:c>
      <x:c r="D23" s="78" t="str">
        <x:v>Select available support types and record them secretly.</x:v>
      </x:c>
      <x:c r="E23" s="78"/>
      <x:c r="F23" s="78" t="str">
        <x:v>Combat Vehicle (VTOL)</x:v>
      </x:c>
      <x:c r="G23" s="78" t="n">
        <x:v>14</x:v>
      </x:c>
      <x:c r="H23" s="140" t="n">
        <x:v>4</x:v>
      </x:c>
      <x:c r="I23" s="78" t="str">
        <x:v>3/6/9</x:v>
      </x:c>
      <x:c r="J23" s="78" t="n">
        <x:v>6</x:v>
      </x:c>
      <x:c r="K23" s="78" t="str">
        <x:v>5</x:v>
      </x:c>
      <x:c r="L23" s="78" t="n">
        <x:v>4</x:v>
      </x:c>
      <x:c r="M23" s="78" t="n">
        <x:v>5</x:v>
      </x:c>
      <x:c r="N23" s="78" t="str">
        <x:v>BSCA p.1</x:v>
      </x:c>
    </x:row>
    <x:row r="24" ht="28" customHeight="1">
      <x:c r="A24" s="78" t="str">
        <x:v>Spend cap</x:v>
      </x:c>
      <x:c r="B24" s="78" t="str">
        <x:v>Cost cannot exceed available BSP</x:v>
      </x:c>
      <x:c r="C24" s="78" t="str">
        <x:v>Reject over-budget selections</x:v>
      </x:c>
      <x:c r="D24" s="78" t="str">
        <x:v>A side may spend less than its BSP allotment.</x:v>
      </x:c>
      <x:c r="E24" s="78"/>
      <x:c r="F24" s="78" t="str">
        <x:v>Combat Vehicle (Light Hover)</x:v>
      </x:c>
      <x:c r="G24" s="78" t="n">
        <x:v>12</x:v>
      </x:c>
      <x:c r="H24" s="140" t="n">
        <x:v>4</x:v>
      </x:c>
      <x:c r="I24" s="78" t="str">
        <x:v>3/6/9</x:v>
      </x:c>
      <x:c r="J24" s="78" t="n">
        <x:v>6</x:v>
      </x:c>
      <x:c r="K24" s="78" t="str">
        <x:v>5</x:v>
      </x:c>
      <x:c r="L24" s="78" t="n">
        <x:v>4</x:v>
      </x:c>
      <x:c r="M24" s="78" t="n">
        <x:v>4</x:v>
      </x:c>
      <x:c r="N24" s="78" t="str">
        <x:v>BSCA p.1</x:v>
      </x:c>
    </x:row>
    <x:row r="25" ht="28" customHeight="1">
      <x:c r="A25" s="78" t="str">
        <x:v>Unspent BSP</x:v>
      </x:c>
      <x:c r="B25" s="78" t="str">
        <x:v>Lost</x:v>
      </x:c>
      <x:c r="C25" s="78" t="str">
        <x:v>Do not carry remaining BSP forward</x:v>
      </x:c>
      <x:c r="D25" s="78" t="str">
        <x:v>Unspent BSP is lost once play begins and does not carry to later tracks.</x:v>
      </x:c>
      <x:c r="E25" s="78"/>
      <x:c r="F25" s="78" t="str">
        <x:v>Combat Vehicle (Medium Hover / Light Wheeled)</x:v>
      </x:c>
      <x:c r="G25" s="78" t="n">
        <x:v>8</x:v>
      </x:c>
      <x:c r="H25" s="140" t="n">
        <x:v>3</x:v>
      </x:c>
      <x:c r="I25" s="78" t="str">
        <x:v>4/8/12</x:v>
      </x:c>
      <x:c r="J25" s="78" t="n">
        <x:v>6</x:v>
      </x:c>
      <x:c r="K25" s="78" t="str">
        <x:v>8</x:v>
      </x:c>
      <x:c r="L25" s="78" t="n">
        <x:v>5</x:v>
      </x:c>
      <x:c r="M25" s="78" t="n">
        <x:v>5</x:v>
      </x:c>
      <x:c r="N25" s="78" t="str">
        <x:v>BSCA p.1</x:v>
      </x:c>
    </x:row>
    <x:row r="26" ht="28" customHeight="1">
      <x:c r="A26" s="78" t="str">
        <x:v>In-play purchases</x:v>
      </x:c>
      <x:c r="B26" s="78" t="str">
        <x:v>Not allowed</x:v>
      </x:c>
      <x:c r="C26" s="78" t="str">
        <x:v>Disable add/purchase after play begins</x:v>
      </x:c>
      <x:c r="D26" s="78" t="str">
        <x:v>No additional Battlefield Support Types may be purchased during the game.</x:v>
      </x:c>
      <x:c r="E26" s="78"/>
      <x:c r="F26" s="78" t="str">
        <x:v>Combat Vehicle (Light Tracked / Medium Wheeled)</x:v>
      </x:c>
      <x:c r="G26" s="78" t="n">
        <x:v>6</x:v>
      </x:c>
      <x:c r="H26" s="140" t="n">
        <x:v>2</x:v>
      </x:c>
      <x:c r="I26" s="78" t="str">
        <x:v>3/6/9</x:v>
      </x:c>
      <x:c r="J26" s="78" t="n">
        <x:v>6</x:v>
      </x:c>
      <x:c r="K26" s="78" t="str">
        <x:v>10</x:v>
      </x:c>
      <x:c r="L26" s="78" t="n">
        <x:v>7</x:v>
      </x:c>
      <x:c r="M26" s="78" t="n">
        <x:v>4</x:v>
      </x:c>
      <x:c r="N26" s="78" t="str">
        <x:v>BSCA p.1</x:v>
      </x:c>
    </x:row>
    <x:row r="27" ht="28" customHeight="1">
      <x:c r="A27" s="78" t="str">
        <x:v>Type availability</x:v>
      </x:c>
      <x:c r="B27" s="78" t="str">
        <x:v>Scenario/track constrained</x:v>
      </x:c>
      <x:c r="C27" s="78" t="str">
        <x:v>Validate selected type is available</x:v>
      </x:c>
      <x:c r="D27" s="78" t="str">
        <x:v>Use the Combined Arms table plus any scenario, track, or player-agreed options.</x:v>
      </x:c>
      <x:c r="E27" s="78"/>
      <x:c r="F27" s="78" t="str">
        <x:v>Combat Vehicle (Medium Tracked / Heavy Wheeled)</x:v>
      </x:c>
      <x:c r="G27" s="78" t="n">
        <x:v>4</x:v>
      </x:c>
      <x:c r="H27" s="140" t="n">
        <x:v>1</x:v>
      </x:c>
      <x:c r="I27" s="78" t="str">
        <x:v>4/8/12</x:v>
      </x:c>
      <x:c r="J27" s="78" t="n">
        <x:v>6</x:v>
      </x:c>
      <x:c r="K27" s="78" t="str">
        <x:v>12</x:v>
      </x:c>
      <x:c r="L27" s="78" t="n">
        <x:v>8</x:v>
      </x:c>
      <x:c r="M27" s="78" t="n">
        <x:v>4</x:v>
      </x:c>
      <x:c r="N27" s="78" t="str">
        <x:v>BSCA p.1</x:v>
      </x:c>
    </x:row>
    <x:row r="28" ht="28" customHeight="1">
      <x:c r="A28" s="78" t="str">
        <x:v>Vehicle / infantry handling</x:v>
      </x:c>
      <x:c r="B28" s="78" t="str">
        <x:v>Battlefield Support by default</x:v>
      </x:c>
      <x:c r="C28" s="78" t="str">
        <x:v>Route listed vehicles and infantry to BSP rules</x:v>
      </x:c>
      <x:c r="D28" s="78" t="str">
        <x:v>Use full BattleTech rules only if players agree.</x:v>
      </x:c>
      <x:c r="E28" s="78"/>
      <x:c r="F28" s="78" t="str">
        <x:v>Combat Vehicle (Heavy Tracked)</x:v>
      </x:c>
      <x:c r="G28" s="78" t="n">
        <x:v>4</x:v>
      </x:c>
      <x:c r="H28" s="140" t="n">
        <x:v>1</x:v>
      </x:c>
      <x:c r="I28" s="78" t="str">
        <x:v>5/10/15</x:v>
      </x:c>
      <x:c r="J28" s="78" t="n">
        <x:v>6</x:v>
      </x:c>
      <x:c r="K28" s="78" t="str">
        <x:v>14</x:v>
      </x:c>
      <x:c r="L28" s="78" t="n">
        <x:v>9</x:v>
      </x:c>
      <x:c r="M28" s="78" t="n">
        <x:v>5</x:v>
      </x:c>
      <x:c r="N28" s="78" t="str">
        <x:v>BSCA p.1</x:v>
      </x:c>
    </x:row>
    <x:row r="29" ht="28" customHeight="1">
      <x:c r="A29" s="78" t="str">
        <x:v>Persistent state</x:v>
      </x:c>
      <x:c r="B29" s="78" t="str">
        <x:v>Not tracked</x:v>
      </x:c>
      <x:c r="C29" s="78" t="str">
        <x:v>Do not require turn-to-turn state</x:v>
      </x:c>
      <x:c r="D29" s="78" t="str">
        <x:v>If a normal rule requires tracking Support-unit information from turn to turn, do not apply it.</x:v>
      </x:c>
      <x:c r="E29" s="78"/>
      <x:c r="F29" s="78" t="str">
        <x:v>Combat Vehicle (Assault Tracked)</x:v>
      </x:c>
      <x:c r="G29" s="78" t="n">
        <x:v>3</x:v>
      </x:c>
      <x:c r="H29" s="140" t="n">
        <x:v>1</x:v>
      </x:c>
      <x:c r="I29" s="78" t="str">
        <x:v>6/12/18</x:v>
      </x:c>
      <x:c r="J29" s="78" t="n">
        <x:v>6</x:v>
      </x:c>
      <x:c r="K29" s="78" t="str">
        <x:v>10 x 2*</x:v>
      </x:c>
      <x:c r="L29" s="78" t="n">
        <x:v>10</x:v>
      </x:c>
      <x:c r="M29" s="78" t="n">
        <x:v>7</x:v>
      </x:c>
      <x:c r="N29" s="78" t="str">
        <x:v>BSCA p.1</x:v>
      </x:c>
    </x:row>
    <x:row r="30" ht="28" customHeight="1">
      <x:c r="A30" s="78" t="str">
        <x:v>Piloting Skill Rolls</x:v>
      </x:c>
      <x:c r="B30" s="78" t="str">
        <x:v>Never made</x:v>
      </x:c>
      <x:c r="C30" s="78" t="str">
        <x:v>No PSR workflow</x:v>
      </x:c>
      <x:c r="D30" s="78" t="str">
        <x:v>A Support unit cannot take an action requiring a prior PSR unless the track expressly says otherwise.</x:v>
      </x:c>
      <x:c r="E30" s="78"/>
      <x:c r="F30" s="78" t="str">
        <x:v>Jump Infantry Platoon</x:v>
      </x:c>
      <x:c r="G30" s="78" t="str">
        <x:v>2 (Jump)</x:v>
      </x:c>
      <x:c r="H30" s="140" t="n">
        <x:v>1</x:v>
      </x:c>
      <x:c r="I30" s="78" t="str">
        <x:v>1/2/3</x:v>
      </x:c>
      <x:c r="J30" s="78" t="n">
        <x:v>6</x:v>
      </x:c>
      <x:c r="K30" s="78" t="str">
        <x:v>5 x 2*</x:v>
      </x:c>
      <x:c r="L30" s="78" t="n">
        <x:v>7</x:v>
      </x:c>
      <x:c r="M30" s="78" t="n">
        <x:v>2</x:v>
      </x:c>
      <x:c r="N30" s="78" t="str">
        <x:v>BSCA p.1</x:v>
      </x:c>
    </x:row>
    <x:row r="31" ht="28" customHeight="1">
      <x:c r="A31" s="78" t="str">
        <x:v>BSP vs. SP</x:v>
      </x:c>
      <x:c r="B31" s="78" t="str">
        <x:v>Separate currencies</x:v>
      </x:c>
      <x:c r="C31" s="78" t="str">
        <x:v>Never combine balances</x:v>
      </x:c>
      <x:c r="D31" s="78" t="str">
        <x:v>BSP has no connection to Support Points (SPs) elsewhere in Chaos Campaign rules.</x:v>
      </x:c>
      <x:c r="E31" s="78"/>
      <x:c r="F31" s="78" t="str">
        <x:v>Mechanized Infantry Platoon</x:v>
      </x:c>
      <x:c r="G31" s="78" t="n">
        <x:v>4</x:v>
      </x:c>
      <x:c r="H31" s="140" t="n">
        <x:v>1</x:v>
      </x:c>
      <x:c r="I31" s="78" t="str">
        <x:v>1/2/3</x:v>
      </x:c>
      <x:c r="J31" s="78" t="n">
        <x:v>6</x:v>
      </x:c>
      <x:c r="K31" s="78" t="str">
        <x:v>5 x 2*</x:v>
      </x:c>
      <x:c r="L31" s="78" t="n">
        <x:v>7</x:v>
      </x:c>
      <x:c r="M31" s="78" t="n">
        <x:v>2</x:v>
      </x:c>
      <x:c r="N31" s="78" t="str">
        <x:v>BSCA p.1</x:v>
      </x:c>
    </x:row>
    <x:row r="32" ht="34" customHeight="1">
      <x:c r="A32" s="78" t="str">
        <x:v>Destroy Check trigger</x:v>
      </x:c>
      <x:c r="B32" s="78" t="str">
        <x:v>5+ damage in one phase</x:v>
      </x:c>
      <x:c r="C32" s="78" t="str">
        <x:v>Check phase damage threshold</x:v>
      </x:c>
      <x:c r="D32" s="78" t="str">
        <x:v>Infantry Support units are the exception; use the listed Destroy Check TN.</x:v>
      </x:c>
      <x:c r="E32" s="78"/>
      <x:c r="F32" s="139" t="str">
        <x:v>* Resolve the two Damage Value groupings separately after a hit. Destroy Checks normally require at least 5 damage in one phase; infantry Support units are excepted.</x:v>
      </x:c>
      <x:c r="G32" s="139"/>
      <x:c r="H32" s="139"/>
      <x:c r="I32" s="139"/>
      <x:c r="J32" s="139"/>
      <x:c r="K32" s="139"/>
      <x:c r="L32" s="139"/>
      <x:c r="M32" s="139"/>
      <x:c r="N32" s="139"/>
    </x:row>
    <x:row r="33" ht="34" customHeight="1">
      <x:c r="A33" s="78" t="str">
        <x:v>Grouped damage</x:v>
      </x:c>
      <x:c r="B33" s="78" t="str">
        <x:v>Resolve each grouping separately</x:v>
      </x:c>
      <x:c r="C33" s="78" t="str">
        <x:v>Apply each x2 damage group independently</x:v>
      </x:c>
      <x:c r="D33" s="78" t="str">
        <x:v>Applies to Damage Values marked with an asterisk.</x:v>
      </x:c>
      <x:c r="E33" s="78"/>
      <x:c r="F33" s="78"/>
      <x:c r="G33" s="78"/>
      <x:c r="H33" s="78"/>
      <x:c r="I33" s="78"/>
      <x:c r="J33" s="78"/>
      <x:c r="K33" s="78"/>
      <x:c r="L33" s="78"/>
      <x:c r="M33" s="78"/>
      <x:c r="N33" s="78"/>
    </x:row>
    <x:row r="34" ht="34" customHeight="1">
      <x:c r="A34" s="78" t="str">
        <x:v>Source</x:v>
      </x:c>
      <x:c r="B34" s="78" t="str">
        <x:v>BSCA.pdf</x:v>
      </x:c>
      <x:c r="C34" s="78" t="str">
        <x:v>Audit reference</x:v>
      </x:c>
      <x:c r="D34" s="78" t="str">
        <x:v>Battlefield Support: Combined Arms, p. 1; Box file ID 2412254276957.</x:v>
      </x:c>
      <x:c r="E34" s="78"/>
      <x:c r="F34" s="78"/>
      <x:c r="G34" s="78"/>
      <x:c r="H34" s="78"/>
      <x:c r="I34" s="78"/>
      <x:c r="J34" s="78"/>
      <x:c r="K34" s="78"/>
      <x:c r="L34" s="78"/>
      <x:c r="M34" s="78"/>
      <x:c r="N34" s="78"/>
    </x:row>
  </x:sheetData>
  <x:mergeCells>
    <x:mergeCell ref="A1:D1"/>
    <x:mergeCell ref="F1:I1"/>
    <x:mergeCell ref="F9:I9"/>
    <x:mergeCell ref="F15:I15"/>
    <x:mergeCell ref="A14:C14"/>
    <x:mergeCell ref="A21:D21"/>
    <x:mergeCell ref="F21:N21"/>
    <x:mergeCell ref="F32:N32"/>
  </x:mergeCells>
  <x:pageMargins left="0.7" right="0.7" top="0.75" bottom="0.75" header="0.3" footer="0.3"/>
  <x:tableParts count="6">
    <x:tablePart xmlns:r="http://schemas.openxmlformats.org/officeDocument/2006/relationships" r:id="R31db9226b8c74c79"/>
    <x:tablePart xmlns:r="http://schemas.openxmlformats.org/officeDocument/2006/relationships" r:id="Rc89b8ec4b6e9432a"/>
    <x:tablePart xmlns:r="http://schemas.openxmlformats.org/officeDocument/2006/relationships" r:id="Rdf3d5942f97c4b62"/>
    <x:tablePart xmlns:r="http://schemas.openxmlformats.org/officeDocument/2006/relationships" r:id="Rf3556da0c62e4a2d"/>
    <x:tablePart xmlns:r="http://schemas.openxmlformats.org/officeDocument/2006/relationships" r:id="Rb3c25d0d3e5c45c1"/>
    <x:tablePart xmlns:r="http://schemas.openxmlformats.org/officeDocument/2006/relationships" r:id="R3144a049d63b4c6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6" customWidth="1"/>
    <x:col min="2" max="2" width="100" customWidth="1"/>
  </x:cols>
  <x:sheetData>
    <x:row r="1" ht="18.75">
      <x:c r="A1" s="65" t="s">
        <x:v>889</x:v>
      </x:c>
      <x:c r="B1" s="65"/>
    </x:row>
    <x:row r="2" ht="44.099998474121094" customHeight="1">
      <x:c r="A2" t="s">
        <x:v>890</x:v>
      </x:c>
      <x:c r="B2" t="s">
        <x:v>891</x:v>
      </x:c>
    </x:row>
    <x:row r="3" ht="44.099998474121094" customHeight="1">
      <x:c r="A3" t="s">
        <x:v>892</x:v>
      </x:c>
      <x:c r="B3" t="s">
        <x:v>893</x:v>
      </x:c>
    </x:row>
    <x:row r="4" ht="44.099998474121094" customHeight="1">
      <x:c r="A4" t="s">
        <x:v>894</x:v>
      </x:c>
      <x:c r="B4" t="s">
        <x:v>895</x:v>
      </x:c>
    </x:row>
    <x:row r="5" ht="44.099998474121094" customHeight="1">
      <x:c r="A5" t="s">
        <x:v>896</x:v>
      </x:c>
      <x:c r="B5" t="s">
        <x:v>897</x:v>
      </x:c>
    </x:row>
    <x:row r="6" ht="44.099998474121094" customHeight="1">
      <x:c r="A6" t="s">
        <x:v>898</x:v>
      </x:c>
      <x:c r="B6" t="s">
        <x:v>899</x:v>
      </x:c>
    </x:row>
    <x:row r="7" ht="44.099998474121094" customHeight="1">
      <x:c r="A7" t="s">
        <x:v>900</x:v>
      </x:c>
      <x:c r="B7" t="s">
        <x:v>901</x:v>
      </x:c>
    </x:row>
    <x:row r="8" ht="44.099998474121094" customHeight="1">
      <x:c r="A8" t="s">
        <x:v>902</x:v>
      </x:c>
      <x:c r="B8" t="s">
        <x:v>903</x:v>
      </x:c>
    </x:row>
    <x:row r="9" ht="44.099998474121094" customHeight="1">
      <x:c r="A9" t="s">
        <x:v>904</x:v>
      </x:c>
      <x:c r="B9" t="s">
        <x:v>905</x:v>
      </x:c>
    </x:row>
    <x:row r="10" ht="44.099998474121094" customHeight="1">
      <x:c r="A10" t="s">
        <x:v>906</x:v>
      </x:c>
      <x:c r="B10" t="s">
        <x:v>907</x:v>
      </x:c>
    </x:row>
    <x:row r="11" ht="44.099998474121094" customHeight="1">
      <x:c r="A11" t="s">
        <x:v>908</x:v>
      </x:c>
      <x:c r="B11" t="s">
        <x:v>909</x:v>
      </x:c>
    </x:row>
    <x:row r="12" ht="44.099998474121094" customHeight="1">
      <x:c r="A12" t="s">
        <x:v>910</x:v>
      </x:c>
      <x:c r="B12" t="s">
        <x:v>911</x:v>
      </x:c>
    </x:row>
  </x:sheetData>
  <x:mergeCells>
    <x:mergeCell ref="A1:B1"/>
  </x:mergeCells>
  <x:pageMargins left="0.7" right="0.7" top="0.75" bottom="0.75" header="0.3" footer="0.3"/>
  <x:tableParts count="1">
    <x:tablePart xmlns:r="http://schemas.openxmlformats.org/officeDocument/2006/relationships" r:id="R3be9c897cefc4a6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4" customWidth="1"/>
    <x:col min="2" max="2" width="16" customWidth="1"/>
    <x:col min="3" max="3" width="29" customWidth="1"/>
    <x:col min="4" max="5" width="15" customWidth="1"/>
    <x:col min="6" max="6" width="31" customWidth="1"/>
    <x:col min="7" max="7" width="26" customWidth="1"/>
    <x:col min="8" max="8" width="18" customWidth="1"/>
    <x:col min="9" max="9" width="27" customWidth="1"/>
    <x:col min="10" max="10" width="20" customWidth="1"/>
    <x:col min="11" max="11" width="58" customWidth="1"/>
  </x:cols>
  <x:sheetData>
    <x:row r="1" ht="18.75">
      <x:c r="A1" s="65" t="s">
        <x:v>912</x:v>
      </x:c>
      <x:c r="B1" s="65"/>
      <x:c r="C1" s="65"/>
      <x:c r="D1" s="65"/>
      <x:c r="E1" s="65"/>
      <x:c r="F1" s="65"/>
      <x:c r="G1" s="65"/>
      <x:c r="H1" s="65"/>
      <x:c r="I1" s="65"/>
      <x:c r="J1" s="65"/>
      <x:c r="K1" s="65"/>
    </x:row>
    <x:row r="2">
      <x:c r="A2" s="64" t="s">
        <x:v>913</x:v>
      </x:c>
      <x:c r="B2" s="64"/>
      <x:c r="C2" s="64"/>
      <x:c r="D2" s="64"/>
      <x:c r="E2" s="64"/>
      <x:c r="F2" s="64"/>
      <x:c r="G2" s="64"/>
      <x:c r="H2" s="64"/>
      <x:c r="I2" s="64"/>
      <x:c r="J2" s="64"/>
      <x:c r="K2" s="64"/>
    </x:row>
    <x:row r="4" ht="50.099998474121094" customHeight="1">
      <x:c r="A4" s="23" t="s">
        <x:v>914</x:v>
      </x:c>
      <x:c r="B4" s="23" t="s">
        <x:v>915</x:v>
      </x:c>
      <x:c r="C4" s="23" t="s">
        <x:v>916</x:v>
      </x:c>
      <x:c r="D4" s="23" t="s">
        <x:v>917</x:v>
      </x:c>
      <x:c r="E4" s="23" t="s">
        <x:v>918</x:v>
      </x:c>
      <x:c r="F4" s="23" t="s">
        <x:v>919</x:v>
      </x:c>
      <x:c r="G4" s="23" t="s">
        <x:v>920</x:v>
      </x:c>
      <x:c r="H4" s="23" t="s">
        <x:v>898</x:v>
      </x:c>
      <x:c r="I4" s="23" t="s">
        <x:v>921</x:v>
      </x:c>
      <x:c r="J4" s="23" t="s">
        <x:v>922</x:v>
      </x:c>
      <x:c r="K4" s="23" t="s">
        <x:v>923</x:v>
      </x:c>
    </x:row>
    <x:row r="5" ht="50.099998474121094" customHeight="1">
      <x:c r="A5" s="23" t="s">
        <x:v>924</x:v>
      </x:c>
      <x:c r="B5" s="23" t="s">
        <x:v>324</x:v>
      </x:c>
      <x:c r="C5" s="23" t="s">
        <x:v>324</x:v>
      </x:c>
      <x:c r="D5" s="23" t="s">
        <x:v>925</x:v>
      </x:c>
      <x:c r="E5" s="23" t="s">
        <x:v>926</x:v>
      </x:c>
      <x:c r="F5" s="23" t="s">
        <x:v>927</x:v>
      </x:c>
      <x:c r="G5" s="23" t="s">
        <x:v>925</x:v>
      </x:c>
      <x:c r="H5" s="23" t="s">
        <x:v>928</x:v>
      </x:c>
      <x:c r="I5" s="23" t="s">
        <x:v>324</x:v>
      </x:c>
      <x:c r="J5" s="23" t="s">
        <x:v>929</x:v>
      </x:c>
      <x:c r="K5" s="23" t="s">
        <x:v>930</x:v>
      </x:c>
    </x:row>
    <x:row r="6" ht="50.099998474121094" customHeight="1">
      <x:c r="A6" s="23" t="s">
        <x:v>931</x:v>
      </x:c>
      <x:c r="B6" s="23" t="s">
        <x:v>324</x:v>
      </x:c>
      <x:c r="C6" s="23" t="s">
        <x:v>932</x:v>
      </x:c>
      <x:c r="D6" s="23" t="s">
        <x:v>933</x:v>
      </x:c>
      <x:c r="E6" s="23" t="s">
        <x:v>934</x:v>
      </x:c>
      <x:c r="F6" s="23" t="s">
        <x:v>935</x:v>
      </x:c>
      <x:c r="G6" s="23" t="s">
        <x:v>936</x:v>
      </x:c>
      <x:c r="H6" s="23" t="s">
        <x:v>928</x:v>
      </x:c>
      <x:c r="I6" s="23" t="s">
        <x:v>324</x:v>
      </x:c>
      <x:c r="J6" s="23" t="s">
        <x:v>929</x:v>
      </x:c>
      <x:c r="K6" s="23" t="s">
        <x:v>937</x:v>
      </x:c>
    </x:row>
    <x:row r="7" ht="50.099998474121094" customHeight="1">
      <x:c r="A7" s="23" t="s">
        <x:v>938</x:v>
      </x:c>
      <x:c r="B7" s="23" t="s">
        <x:v>324</x:v>
      </x:c>
      <x:c r="C7" s="23" t="s">
        <x:v>939</x:v>
      </x:c>
      <x:c r="D7" s="23" t="s">
        <x:v>933</x:v>
      </x:c>
      <x:c r="E7" s="23" t="s">
        <x:v>926</x:v>
      </x:c>
      <x:c r="F7" s="23" t="s">
        <x:v>927</x:v>
      </x:c>
      <x:c r="G7" s="23" t="s">
        <x:v>940</x:v>
      </x:c>
      <x:c r="H7" s="23" t="s">
        <x:v>941</x:v>
      </x:c>
      <x:c r="I7" s="23" t="s">
        <x:v>324</x:v>
      </x:c>
      <x:c r="J7" s="23" t="s">
        <x:v>929</x:v>
      </x:c>
      <x:c r="K7" s="23" t="s">
        <x:v>942</x:v>
      </x:c>
    </x:row>
    <x:row r="8" ht="50.099998474121094" customHeight="1">
      <x:c r="A8" s="23" t="s">
        <x:v>943</x:v>
      </x:c>
      <x:c r="B8" s="23" t="s">
        <x:v>324</x:v>
      </x:c>
      <x:c r="C8" s="23" t="s">
        <x:v>944</x:v>
      </x:c>
      <x:c r="D8" s="23" t="s">
        <x:v>933</x:v>
      </x:c>
      <x:c r="E8" s="23" t="s">
        <x:v>926</x:v>
      </x:c>
      <x:c r="F8" s="23" t="s">
        <x:v>927</x:v>
      </x:c>
      <x:c r="G8" s="23" t="s">
        <x:v>936</x:v>
      </x:c>
      <x:c r="H8" s="23" t="s">
        <x:v>945</x:v>
      </x:c>
      <x:c r="I8" s="23" t="s">
        <x:v>324</x:v>
      </x:c>
      <x:c r="J8" s="23" t="s">
        <x:v>929</x:v>
      </x:c>
      <x:c r="K8" s="23"/>
    </x:row>
    <x:row r="9" ht="50.099998474121094" customHeight="1">
      <x:c r="A9" s="23" t="s">
        <x:v>946</x:v>
      </x:c>
      <x:c r="B9" s="23" t="s">
        <x:v>331</x:v>
      </x:c>
      <x:c r="C9" s="23" t="s">
        <x:v>331</x:v>
      </x:c>
      <x:c r="D9" s="23" t="s">
        <x:v>925</x:v>
      </x:c>
      <x:c r="E9" s="23" t="s">
        <x:v>926</x:v>
      </x:c>
      <x:c r="F9" s="23" t="s">
        <x:v>927</x:v>
      </x:c>
      <x:c r="G9" s="23" t="s">
        <x:v>925</x:v>
      </x:c>
      <x:c r="H9" s="23" t="s">
        <x:v>947</x:v>
      </x:c>
      <x:c r="I9" s="23" t="s">
        <x:v>331</x:v>
      </x:c>
      <x:c r="J9" s="23" t="s">
        <x:v>929</x:v>
      </x:c>
      <x:c r="K9" s="23"/>
    </x:row>
    <x:row r="10" ht="50.099998474121094" customHeight="1">
      <x:c r="A10" s="23" t="s">
        <x:v>948</x:v>
      </x:c>
      <x:c r="B10" s="23" t="s">
        <x:v>331</x:v>
      </x:c>
      <x:c r="C10" s="23" t="s">
        <x:v>949</x:v>
      </x:c>
      <x:c r="D10" s="23" t="s">
        <x:v>933</x:v>
      </x:c>
      <x:c r="E10" s="23" t="s">
        <x:v>926</x:v>
      </x:c>
      <x:c r="F10" s="23" t="s">
        <x:v>927</x:v>
      </x:c>
      <x:c r="G10" s="23" t="s">
        <x:v>936</x:v>
      </x:c>
      <x:c r="H10" s="23" t="s">
        <x:v>941</x:v>
      </x:c>
      <x:c r="I10" s="23" t="s">
        <x:v>331</x:v>
      </x:c>
      <x:c r="J10" s="23" t="s">
        <x:v>929</x:v>
      </x:c>
      <x:c r="K10" s="23"/>
    </x:row>
    <x:row r="11" ht="50.099998474121094" customHeight="1">
      <x:c r="A11" s="23" t="s">
        <x:v>950</x:v>
      </x:c>
      <x:c r="B11" s="23" t="s">
        <x:v>331</x:v>
      </x:c>
      <x:c r="C11" s="23" t="s">
        <x:v>951</x:v>
      </x:c>
      <x:c r="D11" s="23" t="s">
        <x:v>933</x:v>
      </x:c>
      <x:c r="E11" s="23" t="s">
        <x:v>926</x:v>
      </x:c>
      <x:c r="F11" s="23" t="s">
        <x:v>927</x:v>
      </x:c>
      <x:c r="G11" s="23" t="s">
        <x:v>936</x:v>
      </x:c>
      <x:c r="H11" s="23" t="s">
        <x:v>941</x:v>
      </x:c>
      <x:c r="I11" s="23" t="s">
        <x:v>331</x:v>
      </x:c>
      <x:c r="J11" s="23" t="s">
        <x:v>929</x:v>
      </x:c>
      <x:c r="K11" s="23"/>
    </x:row>
    <x:row r="12" ht="50.099998474121094" customHeight="1">
      <x:c r="A12" s="23" t="s">
        <x:v>952</x:v>
      </x:c>
      <x:c r="B12" s="23" t="s">
        <x:v>331</x:v>
      </x:c>
      <x:c r="C12" s="23" t="s">
        <x:v>953</x:v>
      </x:c>
      <x:c r="D12" s="23" t="s">
        <x:v>933</x:v>
      </x:c>
      <x:c r="E12" s="23" t="s">
        <x:v>926</x:v>
      </x:c>
      <x:c r="F12" s="23" t="s">
        <x:v>927</x:v>
      </x:c>
      <x:c r="G12" s="23" t="s">
        <x:v>936</x:v>
      </x:c>
      <x:c r="H12" s="23" t="s">
        <x:v>941</x:v>
      </x:c>
      <x:c r="I12" s="23" t="s">
        <x:v>331</x:v>
      </x:c>
      <x:c r="J12" s="23" t="s">
        <x:v>929</x:v>
      </x:c>
      <x:c r="K12" s="23"/>
    </x:row>
    <x:row r="13" ht="50.099998474121094" customHeight="1">
      <x:c r="A13" s="23" t="s">
        <x:v>954</x:v>
      </x:c>
      <x:c r="B13" s="23" t="s">
        <x:v>331</x:v>
      </x:c>
      <x:c r="C13" s="23" t="s">
        <x:v>955</x:v>
      </x:c>
      <x:c r="D13" s="23" t="s">
        <x:v>933</x:v>
      </x:c>
      <x:c r="E13" s="23" t="s">
        <x:v>934</x:v>
      </x:c>
      <x:c r="F13" s="23" t="s">
        <x:v>956</x:v>
      </x:c>
      <x:c r="G13" s="23" t="s">
        <x:v>936</x:v>
      </x:c>
      <x:c r="H13" s="23" t="s">
        <x:v>941</x:v>
      </x:c>
      <x:c r="I13" s="23" t="s">
        <x:v>331</x:v>
      </x:c>
      <x:c r="J13" s="23" t="s">
        <x:v>929</x:v>
      </x:c>
      <x:c r="K13" s="23" t="s">
        <x:v>957</x:v>
      </x:c>
    </x:row>
    <x:row r="14" ht="50.099998474121094" customHeight="1">
      <x:c r="A14" s="23" t="s">
        <x:v>958</x:v>
      </x:c>
      <x:c r="B14" s="23" t="s">
        <x:v>331</x:v>
      </x:c>
      <x:c r="C14" s="23" t="s">
        <x:v>959</x:v>
      </x:c>
      <x:c r="D14" s="23" t="s">
        <x:v>933</x:v>
      </x:c>
      <x:c r="E14" s="23" t="s">
        <x:v>926</x:v>
      </x:c>
      <x:c r="F14" s="23" t="s">
        <x:v>927</x:v>
      </x:c>
      <x:c r="G14" s="23" t="s">
        <x:v>960</x:v>
      </x:c>
      <x:c r="H14" s="23" t="s">
        <x:v>941</x:v>
      </x:c>
      <x:c r="I14" s="23" t="s">
        <x:v>331</x:v>
      </x:c>
      <x:c r="J14" s="23" t="s">
        <x:v>929</x:v>
      </x:c>
      <x:c r="K14" s="23" t="s">
        <x:v>961</x:v>
      </x:c>
    </x:row>
    <x:row r="15" ht="50.099998474121094" customHeight="1">
      <x:c r="A15" s="23" t="s">
        <x:v>962</x:v>
      </x:c>
      <x:c r="B15" s="23" t="s">
        <x:v>332</x:v>
      </x:c>
      <x:c r="C15" s="23" t="s">
        <x:v>332</x:v>
      </x:c>
      <x:c r="D15" s="23" t="s">
        <x:v>925</x:v>
      </x:c>
      <x:c r="E15" s="23" t="s">
        <x:v>926</x:v>
      </x:c>
      <x:c r="F15" s="23" t="s">
        <x:v>927</x:v>
      </x:c>
      <x:c r="G15" s="23" t="s">
        <x:v>925</x:v>
      </x:c>
      <x:c r="H15" s="23" t="s">
        <x:v>941</x:v>
      </x:c>
      <x:c r="I15" s="23" t="s">
        <x:v>963</x:v>
      </x:c>
      <x:c r="J15" s="23" t="s">
        <x:v>964</x:v>
      </x:c>
      <x:c r="K15" s="23" t="s">
        <x:v>965</x:v>
      </x:c>
    </x:row>
    <x:row r="16" ht="50.099998474121094" customHeight="1">
      <x:c r="A16" s="23" t="s">
        <x:v>966</x:v>
      </x:c>
      <x:c r="B16" s="23" t="s">
        <x:v>332</x:v>
      </x:c>
      <x:c r="C16" s="23" t="s">
        <x:v>967</x:v>
      </x:c>
      <x:c r="D16" s="23" t="s">
        <x:v>933</x:v>
      </x:c>
      <x:c r="E16" s="23" t="s">
        <x:v>934</x:v>
      </x:c>
      <x:c r="F16" s="23" t="s">
        <x:v>968</x:v>
      </x:c>
      <x:c r="G16" s="23" t="s">
        <x:v>936</x:v>
      </x:c>
      <x:c r="H16" s="23" t="s">
        <x:v>941</x:v>
      </x:c>
      <x:c r="I16" s="23" t="s">
        <x:v>963</x:v>
      </x:c>
      <x:c r="J16" s="23" t="s">
        <x:v>964</x:v>
      </x:c>
      <x:c r="K16" s="23" t="s">
        <x:v>969</x:v>
      </x:c>
    </x:row>
    <x:row r="17" ht="50.099998474121094" customHeight="1">
      <x:c r="A17" s="23" t="s">
        <x:v>970</x:v>
      </x:c>
      <x:c r="B17" s="23" t="s">
        <x:v>332</x:v>
      </x:c>
      <x:c r="C17" s="23" t="s">
        <x:v>971</x:v>
      </x:c>
      <x:c r="D17" s="23" t="s">
        <x:v>933</x:v>
      </x:c>
      <x:c r="E17" s="23" t="s">
        <x:v>934</x:v>
      </x:c>
      <x:c r="F17" s="23" t="s">
        <x:v>972</x:v>
      </x:c>
      <x:c r="G17" s="23" t="s">
        <x:v>936</x:v>
      </x:c>
      <x:c r="H17" s="23" t="s">
        <x:v>941</x:v>
      </x:c>
      <x:c r="I17" s="23" t="s">
        <x:v>963</x:v>
      </x:c>
      <x:c r="J17" s="23" t="s">
        <x:v>964</x:v>
      </x:c>
      <x:c r="K17" s="23" t="s">
        <x:v>973</x:v>
      </x:c>
    </x:row>
    <x:row r="18" ht="50.099998474121094" customHeight="1">
      <x:c r="A18" s="23" t="s">
        <x:v>974</x:v>
      </x:c>
      <x:c r="B18" s="23" t="s">
        <x:v>333</x:v>
      </x:c>
      <x:c r="C18" s="23" t="s">
        <x:v>333</x:v>
      </x:c>
      <x:c r="D18" s="23" t="s">
        <x:v>925</x:v>
      </x:c>
      <x:c r="E18" s="23" t="s">
        <x:v>926</x:v>
      </x:c>
      <x:c r="F18" s="23" t="s">
        <x:v>927</x:v>
      </x:c>
      <x:c r="G18" s="23" t="s">
        <x:v>925</x:v>
      </x:c>
      <x:c r="H18" s="23" t="s">
        <x:v>975</x:v>
      </x:c>
      <x:c r="I18" s="23" t="s">
        <x:v>333</x:v>
      </x:c>
      <x:c r="J18" s="23" t="s">
        <x:v>929</x:v>
      </x:c>
      <x:c r="K18" s="23"/>
    </x:row>
    <x:row r="19" ht="50.099998474121094" customHeight="1">
      <x:c r="A19" s="23" t="s">
        <x:v>976</x:v>
      </x:c>
      <x:c r="B19" s="23" t="s">
        <x:v>333</x:v>
      </x:c>
      <x:c r="C19" s="23" t="s">
        <x:v>977</x:v>
      </x:c>
      <x:c r="D19" s="23" t="s">
        <x:v>933</x:v>
      </x:c>
      <x:c r="E19" s="23" t="s">
        <x:v>926</x:v>
      </x:c>
      <x:c r="F19" s="23" t="s">
        <x:v>927</x:v>
      </x:c>
      <x:c r="G19" s="23" t="s">
        <x:v>940</x:v>
      </x:c>
      <x:c r="H19" s="23" t="s">
        <x:v>941</x:v>
      </x:c>
      <x:c r="I19" s="23" t="s">
        <x:v>333</x:v>
      </x:c>
      <x:c r="J19" s="23" t="s">
        <x:v>929</x:v>
      </x:c>
      <x:c r="K19" s="23" t="s">
        <x:v>978</x:v>
      </x:c>
    </x:row>
    <x:row r="20" ht="50.099998474121094" customHeight="1">
      <x:c r="A20" s="23" t="s">
        <x:v>979</x:v>
      </x:c>
      <x:c r="B20" s="23" t="s">
        <x:v>333</x:v>
      </x:c>
      <x:c r="C20" s="23" t="s">
        <x:v>980</x:v>
      </x:c>
      <x:c r="D20" s="23" t="s">
        <x:v>933</x:v>
      </x:c>
      <x:c r="E20" s="23" t="s">
        <x:v>926</x:v>
      </x:c>
      <x:c r="F20" s="23" t="s">
        <x:v>927</x:v>
      </x:c>
      <x:c r="G20" s="23" t="s">
        <x:v>936</x:v>
      </x:c>
      <x:c r="H20" s="23" t="s">
        <x:v>941</x:v>
      </x:c>
      <x:c r="I20" s="23" t="s">
        <x:v>333</x:v>
      </x:c>
      <x:c r="J20" s="23" t="s">
        <x:v>929</x:v>
      </x:c>
      <x:c r="K20" s="23"/>
    </x:row>
    <x:row r="21" ht="50.099998474121094" customHeight="1">
      <x:c r="A21" s="23" t="s">
        <x:v>981</x:v>
      </x:c>
      <x:c r="B21" s="23" t="s">
        <x:v>333</x:v>
      </x:c>
      <x:c r="C21" s="23" t="s">
        <x:v>982</x:v>
      </x:c>
      <x:c r="D21" s="23" t="s">
        <x:v>933</x:v>
      </x:c>
      <x:c r="E21" s="23" t="s">
        <x:v>926</x:v>
      </x:c>
      <x:c r="F21" s="23" t="s">
        <x:v>927</x:v>
      </x:c>
      <x:c r="G21" s="23" t="s">
        <x:v>936</x:v>
      </x:c>
      <x:c r="H21" s="23" t="s">
        <x:v>941</x:v>
      </x:c>
      <x:c r="I21" s="23" t="s">
        <x:v>333</x:v>
      </x:c>
      <x:c r="J21" s="23" t="s">
        <x:v>929</x:v>
      </x:c>
      <x:c r="K21" s="23"/>
    </x:row>
    <x:row r="22" ht="50.099998474121094" customHeight="1">
      <x:c r="A22" s="23" t="s">
        <x:v>983</x:v>
      </x:c>
      <x:c r="B22" s="23" t="s">
        <x:v>333</x:v>
      </x:c>
      <x:c r="C22" s="23" t="s">
        <x:v>984</x:v>
      </x:c>
      <x:c r="D22" s="23" t="s">
        <x:v>933</x:v>
      </x:c>
      <x:c r="E22" s="23" t="s">
        <x:v>926</x:v>
      </x:c>
      <x:c r="F22" s="23" t="s">
        <x:v>927</x:v>
      </x:c>
      <x:c r="G22" s="23" t="s">
        <x:v>936</x:v>
      </x:c>
      <x:c r="H22" s="23" t="s">
        <x:v>941</x:v>
      </x:c>
      <x:c r="I22" s="23" t="s">
        <x:v>333</x:v>
      </x:c>
      <x:c r="J22" s="23" t="s">
        <x:v>929</x:v>
      </x:c>
      <x:c r="K22" s="23"/>
    </x:row>
    <x:row r="23" ht="50.099998474121094" customHeight="1">
      <x:c r="A23" s="23" t="s">
        <x:v>985</x:v>
      </x:c>
      <x:c r="B23" s="23" t="s">
        <x:v>333</x:v>
      </x:c>
      <x:c r="C23" s="23" t="s">
        <x:v>986</x:v>
      </x:c>
      <x:c r="D23" s="23" t="s">
        <x:v>933</x:v>
      </x:c>
      <x:c r="E23" s="23" t="s">
        <x:v>926</x:v>
      </x:c>
      <x:c r="F23" s="23" t="s">
        <x:v>927</x:v>
      </x:c>
      <x:c r="G23" s="23" t="s">
        <x:v>936</x:v>
      </x:c>
      <x:c r="H23" s="23" t="s">
        <x:v>941</x:v>
      </x:c>
      <x:c r="I23" s="23" t="s">
        <x:v>333</x:v>
      </x:c>
      <x:c r="J23" s="23" t="s">
        <x:v>929</x:v>
      </x:c>
      <x:c r="K23" s="23"/>
    </x:row>
    <x:row r="24" ht="50.099998474121094" customHeight="1">
      <x:c r="A24" s="23" t="s">
        <x:v>987</x:v>
      </x:c>
      <x:c r="B24" s="23" t="s">
        <x:v>334</x:v>
      </x:c>
      <x:c r="C24" s="23" t="s">
        <x:v>988</x:v>
      </x:c>
      <x:c r="D24" s="23" t="s">
        <x:v>925</x:v>
      </x:c>
      <x:c r="E24" s="23" t="s">
        <x:v>926</x:v>
      </x:c>
      <x:c r="F24" s="23" t="s">
        <x:v>927</x:v>
      </x:c>
      <x:c r="G24" s="23" t="s">
        <x:v>925</x:v>
      </x:c>
      <x:c r="H24" s="23" t="s">
        <x:v>334</x:v>
      </x:c>
      <x:c r="I24" s="23" t="s">
        <x:v>334</x:v>
      </x:c>
      <x:c r="J24" s="23" t="s">
        <x:v>929</x:v>
      </x:c>
      <x:c r="K24" s="23" t="s">
        <x:v>989</x:v>
      </x:c>
    </x:row>
    <x:row r="25" ht="50.099998474121094" customHeight="1">
      <x:c r="A25" s="23" t="s">
        <x:v>990</x:v>
      </x:c>
      <x:c r="B25" s="23" t="s">
        <x:v>334</x:v>
      </x:c>
      <x:c r="C25" s="23" t="s">
        <x:v>991</x:v>
      </x:c>
      <x:c r="D25" s="23" t="s">
        <x:v>933</x:v>
      </x:c>
      <x:c r="E25" s="23" t="s">
        <x:v>934</x:v>
      </x:c>
      <x:c r="F25" s="23" t="s">
        <x:v>935</x:v>
      </x:c>
      <x:c r="G25" s="23" t="s">
        <x:v>936</x:v>
      </x:c>
      <x:c r="H25" s="23" t="s">
        <x:v>334</x:v>
      </x:c>
      <x:c r="I25" s="23" t="s">
        <x:v>334</x:v>
      </x:c>
      <x:c r="J25" s="23" t="s">
        <x:v>929</x:v>
      </x:c>
      <x:c r="K25" s="23" t="s">
        <x:v>937</x:v>
      </x:c>
    </x:row>
    <x:row r="26" ht="50.099998474121094" customHeight="1">
      <x:c r="A26" s="23" t="s">
        <x:v>992</x:v>
      </x:c>
      <x:c r="B26" s="23" t="s">
        <x:v>334</x:v>
      </x:c>
      <x:c r="C26" s="23" t="s">
        <x:v>993</x:v>
      </x:c>
      <x:c r="D26" s="23" t="s">
        <x:v>933</x:v>
      </x:c>
      <x:c r="E26" s="23" t="s">
        <x:v>926</x:v>
      </x:c>
      <x:c r="F26" s="23" t="s">
        <x:v>927</x:v>
      </x:c>
      <x:c r="G26" s="23" t="s">
        <x:v>936</x:v>
      </x:c>
      <x:c r="H26" s="23" t="s">
        <x:v>941</x:v>
      </x:c>
      <x:c r="I26" s="23" t="s">
        <x:v>334</x:v>
      </x:c>
      <x:c r="J26" s="23" t="s">
        <x:v>929</x:v>
      </x:c>
      <x:c r="K26" s="23"/>
    </x:row>
    <x:row r="27" ht="50.099998474121094" customHeight="1">
      <x:c r="A27" s="23" t="s">
        <x:v>994</x:v>
      </x:c>
      <x:c r="B27" s="23" t="s">
        <x:v>334</x:v>
      </x:c>
      <x:c r="C27" s="23" t="s">
        <x:v>995</x:v>
      </x:c>
      <x:c r="D27" s="23" t="s">
        <x:v>933</x:v>
      </x:c>
      <x:c r="E27" s="23" t="s">
        <x:v>926</x:v>
      </x:c>
      <x:c r="F27" s="23" t="s">
        <x:v>927</x:v>
      </x:c>
      <x:c r="G27" s="23" t="s">
        <x:v>936</x:v>
      </x:c>
      <x:c r="H27" s="23" t="s">
        <x:v>941</x:v>
      </x:c>
      <x:c r="I27" s="23" t="s">
        <x:v>334</x:v>
      </x:c>
      <x:c r="J27" s="23" t="s">
        <x:v>929</x:v>
      </x:c>
      <x:c r="K27" s="23" t="s">
        <x:v>996</x:v>
      </x:c>
    </x:row>
    <x:row r="28" ht="50.099998474121094" customHeight="1">
      <x:c r="A28" s="23" t="s">
        <x:v>997</x:v>
      </x:c>
      <x:c r="B28" s="23" t="s">
        <x:v>334</x:v>
      </x:c>
      <x:c r="C28" s="23" t="s">
        <x:v>998</x:v>
      </x:c>
      <x:c r="D28" s="23" t="s">
        <x:v>933</x:v>
      </x:c>
      <x:c r="E28" s="23" t="s">
        <x:v>926</x:v>
      </x:c>
      <x:c r="F28" s="23" t="s">
        <x:v>927</x:v>
      </x:c>
      <x:c r="G28" s="23" t="s">
        <x:v>936</x:v>
      </x:c>
      <x:c r="H28" s="23" t="s">
        <x:v>941</x:v>
      </x:c>
      <x:c r="I28" s="23" t="s">
        <x:v>334</x:v>
      </x:c>
      <x:c r="J28" s="23" t="s">
        <x:v>929</x:v>
      </x:c>
      <x:c r="K28" s="23"/>
    </x:row>
    <x:row r="29" ht="50.099998474121094" customHeight="1">
      <x:c r="A29" s="23" t="s">
        <x:v>999</x:v>
      </x:c>
      <x:c r="B29" s="23" t="s">
        <x:v>334</x:v>
      </x:c>
      <x:c r="C29" s="23" t="s">
        <x:v>1000</x:v>
      </x:c>
      <x:c r="D29" s="23" t="s">
        <x:v>933</x:v>
      </x:c>
      <x:c r="E29" s="23" t="s">
        <x:v>926</x:v>
      </x:c>
      <x:c r="F29" s="23" t="s">
        <x:v>927</x:v>
      </x:c>
      <x:c r="G29" s="23" t="s">
        <x:v>936</x:v>
      </x:c>
      <x:c r="H29" s="23" t="s">
        <x:v>1001</x:v>
      </x:c>
      <x:c r="I29" s="23" t="s">
        <x:v>334</x:v>
      </x:c>
      <x:c r="J29" s="23" t="s">
        <x:v>929</x:v>
      </x:c>
      <x:c r="K29" s="23"/>
    </x:row>
    <x:row r="30" ht="50.099998474121094" customHeight="1">
      <x:c r="A30" s="23" t="s">
        <x:v>1002</x:v>
      </x:c>
      <x:c r="B30" s="23" t="s">
        <x:v>1003</x:v>
      </x:c>
      <x:c r="C30" s="23" t="s">
        <x:v>1003</x:v>
      </x:c>
      <x:c r="D30" s="23" t="s">
        <x:v>925</x:v>
      </x:c>
      <x:c r="E30" s="23" t="s">
        <x:v>926</x:v>
      </x:c>
      <x:c r="F30" s="23" t="s">
        <x:v>927</x:v>
      </x:c>
      <x:c r="G30" s="23" t="s">
        <x:v>925</x:v>
      </x:c>
      <x:c r="H30" s="23" t="s">
        <x:v>941</x:v>
      </x:c>
      <x:c r="I30" s="23" t="s">
        <x:v>963</x:v>
      </x:c>
      <x:c r="J30" s="23" t="s">
        <x:v>964</x:v>
      </x:c>
      <x:c r="K30" s="23" t="s">
        <x:v>1004</x:v>
      </x:c>
    </x:row>
    <x:row r="31" ht="50.099998474121094" customHeight="1">
      <x:c r="A31" s="23" t="s">
        <x:v>1005</x:v>
      </x:c>
      <x:c r="B31" s="23" t="s">
        <x:v>1006</x:v>
      </x:c>
      <x:c r="C31" s="23" t="s">
        <x:v>1007</x:v>
      </x:c>
      <x:c r="D31" s="23" t="s">
        <x:v>1008</x:v>
      </x:c>
      <x:c r="E31" s="23" t="s">
        <x:v>1009</x:v>
      </x:c>
      <x:c r="F31" s="23" t="s">
        <x:v>1010</x:v>
      </x:c>
      <x:c r="G31" s="23" t="s">
        <x:v>925</x:v>
      </x:c>
      <x:c r="H31" s="23" t="s">
        <x:v>941</x:v>
      </x:c>
      <x:c r="I31" s="23" t="s">
        <x:v>331</x:v>
      </x:c>
      <x:c r="J31" s="23" t="s">
        <x:v>929</x:v>
      </x:c>
      <x:c r="K31" s="23" t="s">
        <x:v>1011</x:v>
      </x:c>
    </x:row>
    <x:row r="32" ht="50.099998474121094" customHeight="1">
      <x:c r="A32" s="23" t="s">
        <x:v>1012</x:v>
      </x:c>
      <x:c r="B32" s="23" t="s">
        <x:v>1013</x:v>
      </x:c>
      <x:c r="C32" s="23" t="s">
        <x:v>1014</x:v>
      </x:c>
      <x:c r="D32" s="23" t="s">
        <x:v>1008</x:v>
      </x:c>
      <x:c r="E32" s="23" t="s">
        <x:v>926</x:v>
      </x:c>
      <x:c r="F32" s="23" t="s">
        <x:v>701</x:v>
      </x:c>
      <x:c r="G32" s="23" t="s">
        <x:v>925</x:v>
      </x:c>
      <x:c r="H32" s="23" t="s">
        <x:v>941</x:v>
      </x:c>
      <x:c r="I32" s="23" t="s">
        <x:v>331</x:v>
      </x:c>
      <x:c r="J32" s="23" t="s">
        <x:v>929</x:v>
      </x:c>
      <x:c r="K32" s="23" t="s">
        <x:v>1015</x:v>
      </x:c>
    </x:row>
    <x:row r="33" ht="50.099998474121094" customHeight="1">
      <x:c r="A33" s="23" t="s">
        <x:v>1016</x:v>
      </x:c>
      <x:c r="B33" s="23" t="s">
        <x:v>332</x:v>
      </x:c>
      <x:c r="C33" s="23" t="s">
        <x:v>1017</x:v>
      </x:c>
      <x:c r="D33" s="23" t="s">
        <x:v>1008</x:v>
      </x:c>
      <x:c r="E33" s="23" t="s">
        <x:v>1009</x:v>
      </x:c>
      <x:c r="F33" s="23" t="s">
        <x:v>701</x:v>
      </x:c>
      <x:c r="G33" s="23" t="s">
        <x:v>1018</x:v>
      </x:c>
      <x:c r="H33" s="23" t="s">
        <x:v>941</x:v>
      </x:c>
      <x:c r="I33" s="23" t="s">
        <x:v>963</x:v>
      </x:c>
      <x:c r="J33" s="23" t="s">
        <x:v>964</x:v>
      </x:c>
      <x:c r="K33" s="23" t="s">
        <x:v>1019</x:v>
      </x:c>
    </x:row>
    <x:row r="34" ht="50.099998474121094" customHeight="1">
      <x:c r="A34" s="23" t="s">
        <x:v>1020</x:v>
      </x:c>
      <x:c r="B34" s="23" t="s">
        <x:v>1021</x:v>
      </x:c>
      <x:c r="C34" s="23" t="s">
        <x:v>1022</x:v>
      </x:c>
      <x:c r="D34" s="23" t="s">
        <x:v>1023</x:v>
      </x:c>
      <x:c r="E34" s="23" t="s">
        <x:v>1024</x:v>
      </x:c>
      <x:c r="F34" s="23" t="s">
        <x:v>23</x:v>
      </x:c>
      <x:c r="G34" s="23" t="s">
        <x:v>1025</x:v>
      </x:c>
      <x:c r="H34" s="23" t="s">
        <x:v>1026</x:v>
      </x:c>
      <x:c r="I34" s="23" t="s">
        <x:v>334</x:v>
      </x:c>
      <x:c r="J34" s="23" t="s">
        <x:v>929</x:v>
      </x:c>
      <x:c r="K34" s="23" t="s">
        <x:v>1027</x:v>
      </x:c>
    </x:row>
    <x:row r="35" ht="50.099998474121094" customHeight="1">
      <x:c r="A35" s="23" t="s">
        <x:v>1028</x:v>
      </x:c>
      <x:c r="B35" s="23" t="s">
        <x:v>1029</x:v>
      </x:c>
      <x:c r="C35" s="23" t="s">
        <x:v>1030</x:v>
      </x:c>
      <x:c r="D35" s="23" t="s">
        <x:v>1023</x:v>
      </x:c>
      <x:c r="E35" s="23" t="s">
        <x:v>1024</x:v>
      </x:c>
      <x:c r="F35" s="23" t="s">
        <x:v>23</x:v>
      </x:c>
      <x:c r="G35" s="23" t="s">
        <x:v>1025</x:v>
      </x:c>
      <x:c r="H35" s="23" t="s">
        <x:v>1026</x:v>
      </x:c>
      <x:c r="I35" s="23" t="s">
        <x:v>334</x:v>
      </x:c>
      <x:c r="J35" s="23" t="s">
        <x:v>929</x:v>
      </x:c>
      <x:c r="K35" s="23" t="s">
        <x:v>1027</x:v>
      </x:c>
    </x:row>
  </x:sheetData>
  <x:mergeCells>
    <x:mergeCell ref="A1:K1"/>
    <x:mergeCell ref="A2:K2"/>
  </x:mergeCells>
  <x:pageMargins left="0.7" right="0.7" top="0.75" bottom="0.75" header="0.3" footer="0.3"/>
  <x:tableParts count="1">
    <x:tablePart xmlns:r="http://schemas.openxmlformats.org/officeDocument/2006/relationships" r:id="R8bb44c394d014e7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7" customWidth="1"/>
    <x:col min="2" max="2" width="24" customWidth="1"/>
    <x:col min="3" max="3" width="22" customWidth="1"/>
    <x:col min="4" max="4" width="26" customWidth="1"/>
    <x:col min="5" max="5" width="46" customWidth="1"/>
    <x:col min="6" max="6" width="21" customWidth="1"/>
    <x:col min="7" max="7" width="28" customWidth="1"/>
    <x:col min="8" max="9" width="17" customWidth="1"/>
    <x:col min="10" max="10" width="62" customWidth="1"/>
  </x:cols>
  <x:sheetData>
    <x:row r="1" ht="18.75">
      <x:c r="A1" s="65" t="s">
        <x:v>1031</x:v>
      </x:c>
      <x:c r="B1" s="65"/>
      <x:c r="C1" s="65"/>
      <x:c r="D1" s="65"/>
      <x:c r="E1" s="65"/>
      <x:c r="F1" s="65"/>
      <x:c r="G1" s="65"/>
      <x:c r="H1" s="65"/>
      <x:c r="I1" s="65"/>
      <x:c r="J1" s="65"/>
    </x:row>
    <x:row r="2">
      <x:c r="A2" s="64" t="s">
        <x:v>1032</x:v>
      </x:c>
      <x:c r="B2" s="64"/>
      <x:c r="C2" s="64"/>
      <x:c r="D2" s="64"/>
      <x:c r="E2" s="64"/>
      <x:c r="F2" s="64"/>
      <x:c r="G2" s="64"/>
      <x:c r="H2" s="64"/>
      <x:c r="I2" s="64"/>
      <x:c r="J2" s="64"/>
    </x:row>
    <x:row r="4" ht="56.099998474121094" customHeight="1">
      <x:c r="A4" s="23" t="s">
        <x:v>1033</x:v>
      </x:c>
      <x:c r="B4" s="23" t="s">
        <x:v>914</x:v>
      </x:c>
      <x:c r="C4" s="23" t="s">
        <x:v>1034</x:v>
      </x:c>
      <x:c r="D4" s="23" t="s">
        <x:v>1035</x:v>
      </x:c>
      <x:c r="E4" s="23" t="s">
        <x:v>1036</x:v>
      </x:c>
      <x:c r="F4" s="23" t="s">
        <x:v>1037</x:v>
      </x:c>
      <x:c r="G4" s="23" t="s">
        <x:v>1038</x:v>
      </x:c>
      <x:c r="H4" s="23" t="s">
        <x:v>1039</x:v>
      </x:c>
      <x:c r="I4" s="23" t="s">
        <x:v>1040</x:v>
      </x:c>
      <x:c r="J4" s="23" t="s">
        <x:v>1041</x:v>
      </x:c>
    </x:row>
    <x:row r="5" ht="56.099998474121094" customHeight="1">
      <x:c r="A5" s="23" t="s">
        <x:v>1042</x:v>
      </x:c>
      <x:c r="B5" s="23" t="s">
        <x:v>924</x:v>
      </x:c>
      <x:c r="C5" s="23" t="s">
        <x:v>1043</x:v>
      </x:c>
      <x:c r="D5" s="23" t="s">
        <x:v>1044</x:v>
      </x:c>
      <x:c r="E5" s="23" t="s">
        <x:v>1045</x:v>
      </x:c>
      <x:c r="F5" s="23" t="s">
        <x:v>1046</x:v>
      </x:c>
      <x:c r="G5" s="23">
        <x:v>3</x:v>
      </x:c>
      <x:c r="H5" s="23">
        <x:v>3</x:v>
      </x:c>
      <x:c r="I5" s="23">
        <x:v>3</x:v>
      </x:c>
      <x:c r="J5" s="23"/>
    </x:row>
    <x:row r="6" ht="56.099998474121094" customHeight="1">
      <x:c r="A6" s="23" t="s">
        <x:v>1047</x:v>
      </x:c>
      <x:c r="B6" s="23" t="s">
        <x:v>924</x:v>
      </x:c>
      <x:c r="C6" s="23" t="s">
        <x:v>1043</x:v>
      </x:c>
      <x:c r="D6" s="23" t="s">
        <x:v>1044</x:v>
      </x:c>
      <x:c r="E6" s="23" t="s">
        <x:v>1048</x:v>
      </x:c>
      <x:c r="F6" s="23" t="s">
        <x:v>1049</x:v>
      </x:c>
      <x:c r="G6" s="23">
        <x:v>0</x:v>
      </x:c>
      <x:c r="H6" s="23">
        <x:v>0</x:v>
      </x:c>
      <x:c r="I6" s="23">
        <x:v>0</x:v>
      </x:c>
      <x:c r="J6" s="23" t="s">
        <x:v>1050</x:v>
      </x:c>
    </x:row>
    <x:row r="7" ht="56.099998474121094" customHeight="1">
      <x:c r="A7" s="23" t="s">
        <x:v>1051</x:v>
      </x:c>
      <x:c r="B7" s="23" t="s">
        <x:v>924</x:v>
      </x:c>
      <x:c r="C7" s="23" t="s">
        <x:v>1043</x:v>
      </x:c>
      <x:c r="D7" s="23" t="s">
        <x:v>1052</x:v>
      </x:c>
      <x:c r="E7" s="23" t="s">
        <x:v>1053</x:v>
      </x:c>
      <x:c r="F7" s="23" t="s">
        <x:v>1054</x:v>
      </x:c>
      <x:c r="G7" s="23">
        <x:v>135</x:v>
      </x:c>
      <x:c r="H7" s="23"/>
      <x:c r="I7" s="23"/>
      <x:c r="J7" s="23" t="s">
        <x:v>1055</x:v>
      </x:c>
    </x:row>
    <x:row r="8" ht="56.099998474121094" customHeight="1">
      <x:c r="A8" s="23" t="s">
        <x:v>1056</x:v>
      </x:c>
      <x:c r="B8" s="23" t="s">
        <x:v>924</x:v>
      </x:c>
      <x:c r="C8" s="23" t="s">
        <x:v>1043</x:v>
      </x:c>
      <x:c r="D8" s="23" t="s">
        <x:v>1044</x:v>
      </x:c>
      <x:c r="E8" s="23" t="s">
        <x:v>1057</x:v>
      </x:c>
      <x:c r="F8" s="23" t="s">
        <x:v>1046</x:v>
      </x:c>
      <x:c r="G8" s="23" t="s">
        <x:v>1058</x:v>
      </x:c>
      <x:c r="H8" s="23">
        <x:v>4</x:v>
      </x:c>
      <x:c r="I8" s="23">
        <x:v>5</x:v>
      </x:c>
      <x:c r="J8" s="23"/>
    </x:row>
    <x:row r="9" ht="56.099998474121094" customHeight="1">
      <x:c r="A9" s="23" t="s">
        <x:v>1059</x:v>
      </x:c>
      <x:c r="B9" s="23" t="s">
        <x:v>924</x:v>
      </x:c>
      <x:c r="C9" s="23" t="s">
        <x:v>1060</x:v>
      </x:c>
      <x:c r="D9" s="23" t="s">
        <x:v>1044</x:v>
      </x:c>
      <x:c r="E9" s="23" t="s">
        <x:v>1061</x:v>
      </x:c>
      <x:c r="F9" s="23" t="s">
        <x:v>1046</x:v>
      </x:c>
      <x:c r="G9" s="23">
        <x:v>1</x:v>
      </x:c>
      <x:c r="H9" s="23">
        <x:v>1</x:v>
      </x:c>
      <x:c r="I9" s="23">
        <x:v>1</x:v>
      </x:c>
      <x:c r="J9" s="23" t="s">
        <x:v>1062</x:v>
      </x:c>
    </x:row>
    <x:row r="10" ht="56.099998474121094" customHeight="1">
      <x:c r="A10" s="23" t="s">
        <x:v>1063</x:v>
      </x:c>
      <x:c r="B10" s="23" t="s">
        <x:v>924</x:v>
      </x:c>
      <x:c r="C10" s="23" t="s">
        <x:v>1064</x:v>
      </x:c>
      <x:c r="D10" s="23" t="s">
        <x:v>1044</x:v>
      </x:c>
      <x:c r="E10" s="23" t="s">
        <x:v>1065</x:v>
      </x:c>
      <x:c r="F10" s="23" t="s">
        <x:v>1046</x:v>
      </x:c>
      <x:c r="G10" s="23">
        <x:v>2</x:v>
      </x:c>
      <x:c r="H10" s="23">
        <x:v>2</x:v>
      </x:c>
      <x:c r="I10" s="23">
        <x:v>2</x:v>
      </x:c>
      <x:c r="J10" s="23" t="s">
        <x:v>1062</x:v>
      </x:c>
    </x:row>
    <x:row r="11" ht="56.099998474121094" customHeight="1">
      <x:c r="A11" s="23" t="s">
        <x:v>1066</x:v>
      </x:c>
      <x:c r="B11" s="23" t="s">
        <x:v>938</x:v>
      </x:c>
      <x:c r="C11" s="23" t="s">
        <x:v>1067</x:v>
      </x:c>
      <x:c r="D11" s="23" t="s">
        <x:v>1052</x:v>
      </x:c>
      <x:c r="E11" s="23" t="s">
        <x:v>1068</x:v>
      </x:c>
      <x:c r="F11" s="23" t="s">
        <x:v>1069</x:v>
      </x:c>
      <x:c r="G11" s="23" t="s">
        <x:v>1070</x:v>
      </x:c>
      <x:c r="H11" s="23"/>
      <x:c r="I11" s="23"/>
      <x:c r="J11" s="23" t="s">
        <x:v>1071</x:v>
      </x:c>
    </x:row>
    <x:row r="12" ht="56.099998474121094" customHeight="1">
      <x:c r="A12" s="23" t="s">
        <x:v>1072</x:v>
      </x:c>
      <x:c r="B12" s="23" t="s">
        <x:v>943</x:v>
      </x:c>
      <x:c r="C12" s="23" t="s">
        <x:v>1043</x:v>
      </x:c>
      <x:c r="D12" s="23" t="s">
        <x:v>1044</x:v>
      </x:c>
      <x:c r="E12" s="23" t="s">
        <x:v>1073</x:v>
      </x:c>
      <x:c r="F12" s="23" t="s">
        <x:v>1046</x:v>
      </x:c>
      <x:c r="G12" s="23" t="s">
        <x:v>1074</x:v>
      </x:c>
      <x:c r="H12" s="23">
        <x:v>3</x:v>
      </x:c>
      <x:c r="I12" s="23">
        <x:v>3</x:v>
      </x:c>
      <x:c r="J12" s="23"/>
    </x:row>
    <x:row r="13" ht="56.099998474121094" customHeight="1">
      <x:c r="A13" s="23" t="s">
        <x:v>1075</x:v>
      </x:c>
      <x:c r="B13" s="23" t="s">
        <x:v>946</x:v>
      </x:c>
      <x:c r="C13" s="23" t="s">
        <x:v>1043</x:v>
      </x:c>
      <x:c r="D13" s="23" t="s">
        <x:v>1044</x:v>
      </x:c>
      <x:c r="E13" s="23" t="s">
        <x:v>1045</x:v>
      </x:c>
      <x:c r="F13" s="23" t="s">
        <x:v>1046</x:v>
      </x:c>
      <x:c r="G13" s="23" t="s">
        <x:v>1074</x:v>
      </x:c>
      <x:c r="H13" s="23">
        <x:v>3</x:v>
      </x:c>
      <x:c r="I13" s="23">
        <x:v>3</x:v>
      </x:c>
      <x:c r="J13" s="23"/>
    </x:row>
    <x:row r="14" ht="56.099998474121094" customHeight="1">
      <x:c r="A14" s="23" t="s">
        <x:v>1076</x:v>
      </x:c>
      <x:c r="B14" s="23" t="s">
        <x:v>946</x:v>
      </x:c>
      <x:c r="C14" s="23" t="s">
        <x:v>1043</x:v>
      </x:c>
      <x:c r="D14" s="23" t="s">
        <x:v>1044</x:v>
      </x:c>
      <x:c r="E14" s="23" t="s">
        <x:v>1077</x:v>
      </x:c>
      <x:c r="F14" s="23" t="s">
        <x:v>1046</x:v>
      </x:c>
      <x:c r="G14" s="23">
        <x:v>3</x:v>
      </x:c>
      <x:c r="H14" s="23">
        <x:v>3</x:v>
      </x:c>
      <x:c r="I14" s="23">
        <x:v>3</x:v>
      </x:c>
      <x:c r="J14" s="23" t="s">
        <x:v>1078</x:v>
      </x:c>
    </x:row>
    <x:row r="15" ht="56.099998474121094" customHeight="1">
      <x:c r="A15" s="23" t="s">
        <x:v>1079</x:v>
      </x:c>
      <x:c r="B15" s="23" t="s">
        <x:v>948</x:v>
      </x:c>
      <x:c r="C15" s="23" t="s">
        <x:v>1043</x:v>
      </x:c>
      <x:c r="D15" s="23" t="s">
        <x:v>1044</x:v>
      </x:c>
      <x:c r="E15" s="23" t="s">
        <x:v>1048</x:v>
      </x:c>
      <x:c r="F15" s="23" t="s">
        <x:v>1046</x:v>
      </x:c>
      <x:c r="G15" s="23" t="s">
        <x:v>1058</x:v>
      </x:c>
      <x:c r="H15" s="23">
        <x:v>4</x:v>
      </x:c>
      <x:c r="I15" s="23">
        <x:v>5</x:v>
      </x:c>
      <x:c r="J15" s="23"/>
    </x:row>
    <x:row r="16" ht="56.099998474121094" customHeight="1">
      <x:c r="A16" s="23" t="s">
        <x:v>1080</x:v>
      </x:c>
      <x:c r="B16" s="23" t="s">
        <x:v>948</x:v>
      </x:c>
      <x:c r="C16" s="23" t="s">
        <x:v>1043</x:v>
      </x:c>
      <x:c r="D16" s="23" t="s">
        <x:v>1044</x:v>
      </x:c>
      <x:c r="E16" s="23" t="s">
        <x:v>1081</x:v>
      </x:c>
      <x:c r="F16" s="23" t="s">
        <x:v>1049</x:v>
      </x:c>
      <x:c r="G16" s="23">
        <x:v>0</x:v>
      </x:c>
      <x:c r="H16" s="23">
        <x:v>0</x:v>
      </x:c>
      <x:c r="I16" s="23">
        <x:v>0</x:v>
      </x:c>
      <x:c r="J16" s="23"/>
    </x:row>
    <x:row r="17" ht="56.099998474121094" customHeight="1">
      <x:c r="A17" s="23" t="s">
        <x:v>1082</x:v>
      </x:c>
      <x:c r="B17" s="23" t="s">
        <x:v>948</x:v>
      </x:c>
      <x:c r="C17" s="23" t="s">
        <x:v>1043</x:v>
      </x:c>
      <x:c r="D17" s="23" t="s">
        <x:v>1044</x:v>
      </x:c>
      <x:c r="E17" s="23" t="s">
        <x:v>1083</x:v>
      </x:c>
      <x:c r="F17" s="23" t="s">
        <x:v>1046</x:v>
      </x:c>
      <x:c r="G17" s="23">
        <x:v>1</x:v>
      </x:c>
      <x:c r="H17" s="23">
        <x:v>1</x:v>
      </x:c>
      <x:c r="I17" s="23">
        <x:v>1</x:v>
      </x:c>
      <x:c r="J17" s="23"/>
    </x:row>
    <x:row r="18" ht="56.099998474121094" customHeight="1">
      <x:c r="A18" s="23" t="s">
        <x:v>1084</x:v>
      </x:c>
      <x:c r="B18" s="23" t="s">
        <x:v>950</x:v>
      </x:c>
      <x:c r="C18" s="23" t="s">
        <x:v>1043</x:v>
      </x:c>
      <x:c r="D18" s="23" t="s">
        <x:v>1044</x:v>
      </x:c>
      <x:c r="E18" s="23" t="s">
        <x:v>1085</x:v>
      </x:c>
      <x:c r="F18" s="23" t="s">
        <x:v>1046</x:v>
      </x:c>
      <x:c r="G18" s="23" t="s">
        <x:v>1074</x:v>
      </x:c>
      <x:c r="H18" s="23">
        <x:v>3</x:v>
      </x:c>
      <x:c r="I18" s="23">
        <x:v>3</x:v>
      </x:c>
      <x:c r="J18" s="23"/>
    </x:row>
    <x:row r="19" ht="56.099998474121094" customHeight="1">
      <x:c r="A19" s="23" t="s">
        <x:v>1086</x:v>
      </x:c>
      <x:c r="B19" s="23" t="s">
        <x:v>950</x:v>
      </x:c>
      <x:c r="C19" s="23" t="s">
        <x:v>1043</x:v>
      </x:c>
      <x:c r="D19" s="23" t="s">
        <x:v>1044</x:v>
      </x:c>
      <x:c r="E19" s="23" t="s">
        <x:v>1081</x:v>
      </x:c>
      <x:c r="F19" s="23" t="s">
        <x:v>1049</x:v>
      </x:c>
      <x:c r="G19" s="23">
        <x:v>0</x:v>
      </x:c>
      <x:c r="H19" s="23">
        <x:v>0</x:v>
      </x:c>
      <x:c r="I19" s="23">
        <x:v>0</x:v>
      </x:c>
      <x:c r="J19" s="23"/>
    </x:row>
    <x:row r="20" ht="56.099998474121094" customHeight="1">
      <x:c r="A20" s="23" t="s">
        <x:v>1087</x:v>
      </x:c>
      <x:c r="B20" s="23" t="s">
        <x:v>952</x:v>
      </x:c>
      <x:c r="C20" s="23" t="s">
        <x:v>1043</x:v>
      </x:c>
      <x:c r="D20" s="23" t="s">
        <x:v>1044</x:v>
      </x:c>
      <x:c r="E20" s="23" t="s">
        <x:v>1045</x:v>
      </x:c>
      <x:c r="F20" s="23" t="s">
        <x:v>1046</x:v>
      </x:c>
      <x:c r="G20" s="23" t="s">
        <x:v>1074</x:v>
      </x:c>
      <x:c r="H20" s="23">
        <x:v>3</x:v>
      </x:c>
      <x:c r="I20" s="23">
        <x:v>3</x:v>
      </x:c>
      <x:c r="J20" s="23"/>
    </x:row>
    <x:row r="21" ht="56.099998474121094" customHeight="1">
      <x:c r="A21" s="23" t="s">
        <x:v>1088</x:v>
      </x:c>
      <x:c r="B21" s="23" t="s">
        <x:v>952</x:v>
      </x:c>
      <x:c r="C21" s="23" t="s">
        <x:v>1043</x:v>
      </x:c>
      <x:c r="D21" s="23" t="s">
        <x:v>1044</x:v>
      </x:c>
      <x:c r="E21" s="23" t="s">
        <x:v>1048</x:v>
      </x:c>
      <x:c r="F21" s="23" t="s">
        <x:v>1049</x:v>
      </x:c>
      <x:c r="G21" s="23">
        <x:v>0</x:v>
      </x:c>
      <x:c r="H21" s="23">
        <x:v>0</x:v>
      </x:c>
      <x:c r="I21" s="23">
        <x:v>0</x:v>
      </x:c>
      <x:c r="J21" s="23"/>
    </x:row>
    <x:row r="22" ht="56.099998474121094" customHeight="1">
      <x:c r="A22" s="23" t="s">
        <x:v>1089</x:v>
      </x:c>
      <x:c r="B22" s="23" t="s">
        <x:v>958</x:v>
      </x:c>
      <x:c r="C22" s="23" t="s">
        <x:v>1090</x:v>
      </x:c>
      <x:c r="D22" s="23" t="s">
        <x:v>1044</x:v>
      </x:c>
      <x:c r="E22" s="23" t="s">
        <x:v>1091</x:v>
      </x:c>
      <x:c r="F22" s="23" t="s">
        <x:v>1092</x:v>
      </x:c>
      <x:c r="G22" s="23" t="s">
        <x:v>946</x:v>
      </x:c>
      <x:c r="H22" s="23"/>
      <x:c r="I22" s="23"/>
      <x:c r="J22" s="23" t="s">
        <x:v>1093</x:v>
      </x:c>
    </x:row>
    <x:row r="23" ht="56.099998474121094" customHeight="1">
      <x:c r="A23" s="23" t="s">
        <x:v>1094</x:v>
      </x:c>
      <x:c r="B23" s="23" t="s">
        <x:v>962</x:v>
      </x:c>
      <x:c r="C23" s="23" t="s">
        <x:v>1095</x:v>
      </x:c>
      <x:c r="D23" s="23" t="s">
        <x:v>1096</x:v>
      </x:c>
      <x:c r="E23" s="23" t="s">
        <x:v>1097</x:v>
      </x:c>
      <x:c r="F23" s="23" t="s">
        <x:v>1049</x:v>
      </x:c>
      <x:c r="G23" s="23">
        <x:v>1</x:v>
      </x:c>
      <x:c r="H23" s="23">
        <x:v>1</x:v>
      </x:c>
      <x:c r="I23" s="23">
        <x:v>1</x:v>
      </x:c>
      <x:c r="J23" s="23" t="s">
        <x:v>1098</x:v>
      </x:c>
    </x:row>
    <x:row r="24" ht="56.099998474121094" customHeight="1">
      <x:c r="A24" s="23" t="s">
        <x:v>1099</x:v>
      </x:c>
      <x:c r="B24" s="23" t="s">
        <x:v>962</x:v>
      </x:c>
      <x:c r="C24" s="23" t="s">
        <x:v>1095</x:v>
      </x:c>
      <x:c r="D24" s="23" t="s">
        <x:v>1100</x:v>
      </x:c>
      <x:c r="E24" s="23" t="s">
        <x:v>1101</x:v>
      </x:c>
      <x:c r="F24" s="23" t="s">
        <x:v>1046</x:v>
      </x:c>
      <x:c r="G24" s="23">
        <x:v>1</x:v>
      </x:c>
      <x:c r="H24" s="23">
        <x:v>1</x:v>
      </x:c>
      <x:c r="I24" s="23">
        <x:v>1</x:v>
      </x:c>
      <x:c r="J24" s="23"/>
    </x:row>
    <x:row r="25" ht="56.099998474121094" customHeight="1">
      <x:c r="A25" s="23" t="s">
        <x:v>1102</x:v>
      </x:c>
      <x:c r="B25" s="23" t="s">
        <x:v>962</x:v>
      </x:c>
      <x:c r="C25" s="23" t="s">
        <x:v>1095</x:v>
      </x:c>
      <x:c r="D25" s="23" t="s">
        <x:v>1103</x:v>
      </x:c>
      <x:c r="E25" s="23" t="s">
        <x:v>1104</x:v>
      </x:c>
      <x:c r="F25" s="23" t="s">
        <x:v>1046</x:v>
      </x:c>
      <x:c r="G25" s="23">
        <x:v>1</x:v>
      </x:c>
      <x:c r="H25" s="23">
        <x:v>1</x:v>
      </x:c>
      <x:c r="I25" s="23">
        <x:v>1</x:v>
      </x:c>
      <x:c r="J25" s="23" t="s">
        <x:v>1105</x:v>
      </x:c>
    </x:row>
    <x:row r="26" ht="56.099998474121094" customHeight="1">
      <x:c r="A26" s="23" t="s">
        <x:v>1106</x:v>
      </x:c>
      <x:c r="B26" s="23" t="s">
        <x:v>962</x:v>
      </x:c>
      <x:c r="C26" s="23" t="s">
        <x:v>1107</x:v>
      </x:c>
      <x:c r="D26" s="23" t="s">
        <x:v>1044</x:v>
      </x:c>
      <x:c r="E26" s="23" t="s">
        <x:v>1108</x:v>
      </x:c>
      <x:c r="F26" s="23" t="s">
        <x:v>1046</x:v>
      </x:c>
      <x:c r="G26" s="23" t="s">
        <x:v>1074</x:v>
      </x:c>
      <x:c r="H26" s="23">
        <x:v>3</x:v>
      </x:c>
      <x:c r="I26" s="23">
        <x:v>3</x:v>
      </x:c>
      <x:c r="J26" s="23"/>
    </x:row>
    <x:row r="27" ht="56.099998474121094" customHeight="1">
      <x:c r="A27" s="23" t="s">
        <x:v>1109</x:v>
      </x:c>
      <x:c r="B27" s="23" t="s">
        <x:v>962</x:v>
      </x:c>
      <x:c r="C27" s="23" t="s">
        <x:v>1107</x:v>
      </x:c>
      <x:c r="D27" s="23" t="s">
        <x:v>1044</x:v>
      </x:c>
      <x:c r="E27" s="23" t="s">
        <x:v>1110</x:v>
      </x:c>
      <x:c r="F27" s="23" t="s">
        <x:v>1046</x:v>
      </x:c>
      <x:c r="G27" s="23">
        <x:v>1</x:v>
      </x:c>
      <x:c r="H27" s="23">
        <x:v>1</x:v>
      </x:c>
      <x:c r="I27" s="23">
        <x:v>1</x:v>
      </x:c>
      <x:c r="J27" s="23" t="s">
        <x:v>1111</x:v>
      </x:c>
    </x:row>
    <x:row r="28" ht="56.099998474121094" customHeight="1">
      <x:c r="A28" s="23" t="s">
        <x:v>1112</x:v>
      </x:c>
      <x:c r="B28" s="23" t="s">
        <x:v>974</x:v>
      </x:c>
      <x:c r="C28" s="23" t="s">
        <x:v>1043</x:v>
      </x:c>
      <x:c r="D28" s="23" t="s">
        <x:v>1044</x:v>
      </x:c>
      <x:c r="E28" s="23" t="s">
        <x:v>1113</x:v>
      </x:c>
      <x:c r="F28" s="23" t="s">
        <x:v>1046</x:v>
      </x:c>
      <x:c r="G28" s="23" t="s">
        <x:v>1058</x:v>
      </x:c>
      <x:c r="H28" s="23">
        <x:v>4</x:v>
      </x:c>
      <x:c r="I28" s="23">
        <x:v>5</x:v>
      </x:c>
      <x:c r="J28" s="23"/>
    </x:row>
    <x:row r="29" ht="56.099998474121094" customHeight="1">
      <x:c r="A29" s="23" t="s">
        <x:v>1114</x:v>
      </x:c>
      <x:c r="B29" s="23" t="s">
        <x:v>976</x:v>
      </x:c>
      <x:c r="C29" s="23" t="s">
        <x:v>1067</x:v>
      </x:c>
      <x:c r="D29" s="23" t="s">
        <x:v>1044</x:v>
      </x:c>
      <x:c r="E29" s="23" t="s">
        <x:v>1115</x:v>
      </x:c>
      <x:c r="F29" s="23" t="s">
        <x:v>1046</x:v>
      </x:c>
      <x:c r="G29" s="23">
        <x:v>2</x:v>
      </x:c>
      <x:c r="H29" s="23">
        <x:v>2</x:v>
      </x:c>
      <x:c r="I29" s="23">
        <x:v>2</x:v>
      </x:c>
      <x:c r="J29" s="23" t="s">
        <x:v>1116</x:v>
      </x:c>
    </x:row>
    <x:row r="30" ht="56.099998474121094" customHeight="1">
      <x:c r="A30" s="23" t="s">
        <x:v>1117</x:v>
      </x:c>
      <x:c r="B30" s="23" t="s">
        <x:v>979</x:v>
      </x:c>
      <x:c r="C30" s="23" t="s">
        <x:v>1043</x:v>
      </x:c>
      <x:c r="D30" s="23" t="s">
        <x:v>1044</x:v>
      </x:c>
      <x:c r="E30" s="23" t="s">
        <x:v>1118</x:v>
      </x:c>
      <x:c r="F30" s="23" t="s">
        <x:v>1046</x:v>
      </x:c>
      <x:c r="G30" s="23">
        <x:v>2</x:v>
      </x:c>
      <x:c r="H30" s="23">
        <x:v>2</x:v>
      </x:c>
      <x:c r="I30" s="23">
        <x:v>2</x:v>
      </x:c>
      <x:c r="J30" s="23"/>
    </x:row>
    <x:row r="31" ht="56.099998474121094" customHeight="1">
      <x:c r="A31" s="23" t="s">
        <x:v>1119</x:v>
      </x:c>
      <x:c r="B31" s="23" t="s">
        <x:v>981</x:v>
      </x:c>
      <x:c r="C31" s="23" t="s">
        <x:v>1043</x:v>
      </x:c>
      <x:c r="D31" s="23" t="s">
        <x:v>1044</x:v>
      </x:c>
      <x:c r="E31" s="23" t="s">
        <x:v>1045</x:v>
      </x:c>
      <x:c r="F31" s="23" t="s">
        <x:v>1046</x:v>
      </x:c>
      <x:c r="G31" s="23">
        <x:v>2</x:v>
      </x:c>
      <x:c r="H31" s="23">
        <x:v>2</x:v>
      </x:c>
      <x:c r="I31" s="23">
        <x:v>2</x:v>
      </x:c>
      <x:c r="J31" s="23"/>
    </x:row>
    <x:row r="32" ht="56.099998474121094" customHeight="1">
      <x:c r="A32" s="23" t="s">
        <x:v>1120</x:v>
      </x:c>
      <x:c r="B32" s="23" t="s">
        <x:v>981</x:v>
      </x:c>
      <x:c r="C32" s="23" t="s">
        <x:v>1043</x:v>
      </x:c>
      <x:c r="D32" s="23" t="s">
        <x:v>1052</x:v>
      </x:c>
      <x:c r="E32" s="23" t="s">
        <x:v>1121</x:v>
      </x:c>
      <x:c r="F32" s="23" t="s">
        <x:v>1054</x:v>
      </x:c>
      <x:c r="G32" s="23">
        <x:v>10</x:v>
      </x:c>
      <x:c r="H32" s="23"/>
      <x:c r="I32" s="23"/>
      <x:c r="J32" s="23" t="s">
        <x:v>1055</x:v>
      </x:c>
    </x:row>
    <x:row r="33" ht="56.099998474121094" customHeight="1">
      <x:c r="A33" s="23" t="s">
        <x:v>1122</x:v>
      </x:c>
      <x:c r="B33" s="23" t="s">
        <x:v>983</x:v>
      </x:c>
      <x:c r="C33" s="23" t="s">
        <x:v>1043</x:v>
      </x:c>
      <x:c r="D33" s="23" t="s">
        <x:v>1044</x:v>
      </x:c>
      <x:c r="E33" s="23" t="s">
        <x:v>1123</x:v>
      </x:c>
      <x:c r="F33" s="23" t="s">
        <x:v>1046</x:v>
      </x:c>
      <x:c r="G33" s="23">
        <x:v>3</x:v>
      </x:c>
      <x:c r="H33" s="23">
        <x:v>3</x:v>
      </x:c>
      <x:c r="I33" s="23">
        <x:v>3</x:v>
      </x:c>
      <x:c r="J33" s="23"/>
    </x:row>
    <x:row r="34" ht="56.099998474121094" customHeight="1">
      <x:c r="A34" s="23" t="s">
        <x:v>1124</x:v>
      </x:c>
      <x:c r="B34" s="23" t="s">
        <x:v>985</x:v>
      </x:c>
      <x:c r="C34" s="23" t="s">
        <x:v>1043</x:v>
      </x:c>
      <x:c r="D34" s="23" t="s">
        <x:v>1044</x:v>
      </x:c>
      <x:c r="E34" s="23" t="s">
        <x:v>1045</x:v>
      </x:c>
      <x:c r="F34" s="23" t="s">
        <x:v>1049</x:v>
      </x:c>
      <x:c r="G34" s="23">
        <x:v>0</x:v>
      </x:c>
      <x:c r="H34" s="23">
        <x:v>0</x:v>
      </x:c>
      <x:c r="I34" s="23">
        <x:v>0</x:v>
      </x:c>
      <x:c r="J34" s="23"/>
    </x:row>
    <x:row r="35" ht="56.099998474121094" customHeight="1">
      <x:c r="A35" s="23" t="s">
        <x:v>1125</x:v>
      </x:c>
      <x:c r="B35" s="23" t="s">
        <x:v>985</x:v>
      </x:c>
      <x:c r="C35" s="23" t="s">
        <x:v>1043</x:v>
      </x:c>
      <x:c r="D35" s="23" t="s">
        <x:v>1044</x:v>
      </x:c>
      <x:c r="E35" s="23" t="s">
        <x:v>1113</x:v>
      </x:c>
      <x:c r="F35" s="23" t="s">
        <x:v>1046</x:v>
      </x:c>
      <x:c r="G35" s="23" t="s">
        <x:v>1058</x:v>
      </x:c>
      <x:c r="H35" s="23">
        <x:v>4</x:v>
      </x:c>
      <x:c r="I35" s="23">
        <x:v>5</x:v>
      </x:c>
      <x:c r="J35" s="23"/>
    </x:row>
    <x:row r="36" ht="56.099998474121094" customHeight="1">
      <x:c r="A36" s="23" t="s">
        <x:v>1126</x:v>
      </x:c>
      <x:c r="B36" s="23" t="s">
        <x:v>987</x:v>
      </x:c>
      <x:c r="C36" s="23" t="s">
        <x:v>1043</x:v>
      </x:c>
      <x:c r="D36" s="23" t="s">
        <x:v>1052</x:v>
      </x:c>
      <x:c r="E36" s="23" t="s">
        <x:v>1068</x:v>
      </x:c>
      <x:c r="F36" s="23" t="s">
        <x:v>1127</x:v>
      </x:c>
      <x:c r="G36" s="23" t="s">
        <x:v>1070</x:v>
      </x:c>
      <x:c r="H36" s="23"/>
      <x:c r="I36" s="23"/>
      <x:c r="J36" s="23" t="s">
        <x:v>1071</x:v>
      </x:c>
    </x:row>
    <x:row r="37" ht="56.099998474121094" customHeight="1">
      <x:c r="A37" s="23" t="s">
        <x:v>1128</x:v>
      </x:c>
      <x:c r="B37" s="23" t="s">
        <x:v>987</x:v>
      </x:c>
      <x:c r="C37" s="23" t="s">
        <x:v>1043</x:v>
      </x:c>
      <x:c r="D37" s="23" t="s">
        <x:v>1044</x:v>
      </x:c>
      <x:c r="E37" s="23" t="s">
        <x:v>1081</x:v>
      </x:c>
      <x:c r="F37" s="23" t="s">
        <x:v>1049</x:v>
      </x:c>
      <x:c r="G37" s="23">
        <x:v>0</x:v>
      </x:c>
      <x:c r="H37" s="23">
        <x:v>0</x:v>
      </x:c>
      <x:c r="I37" s="23">
        <x:v>0</x:v>
      </x:c>
      <x:c r="J37" s="23"/>
    </x:row>
    <x:row r="38" ht="56.099998474121094" customHeight="1">
      <x:c r="A38" s="23" t="s">
        <x:v>1129</x:v>
      </x:c>
      <x:c r="B38" s="23" t="s">
        <x:v>987</x:v>
      </x:c>
      <x:c r="C38" s="23" t="s">
        <x:v>1043</x:v>
      </x:c>
      <x:c r="D38" s="23" t="s">
        <x:v>1044</x:v>
      </x:c>
      <x:c r="E38" s="23" t="s">
        <x:v>1130</x:v>
      </x:c>
      <x:c r="F38" s="23" t="s">
        <x:v>1046</x:v>
      </x:c>
      <x:c r="G38" s="23" t="s">
        <x:v>1074</x:v>
      </x:c>
      <x:c r="H38" s="23">
        <x:v>3</x:v>
      </x:c>
      <x:c r="I38" s="23">
        <x:v>3</x:v>
      </x:c>
      <x:c r="J38" s="23"/>
    </x:row>
    <x:row r="39" ht="56.099998474121094" customHeight="1">
      <x:c r="A39" s="23" t="s">
        <x:v>1131</x:v>
      </x:c>
      <x:c r="B39" s="23" t="s">
        <x:v>992</x:v>
      </x:c>
      <x:c r="C39" s="23" t="s">
        <x:v>1043</x:v>
      </x:c>
      <x:c r="D39" s="23" t="s">
        <x:v>1052</x:v>
      </x:c>
      <x:c r="E39" s="23" t="s">
        <x:v>1132</x:v>
      </x:c>
      <x:c r="F39" s="23" t="s">
        <x:v>1054</x:v>
      </x:c>
      <x:c r="G39" s="23">
        <x:v>4</x:v>
      </x:c>
      <x:c r="H39" s="23"/>
      <x:c r="I39" s="23"/>
      <x:c r="J39" s="23" t="s">
        <x:v>1133</x:v>
      </x:c>
    </x:row>
    <x:row r="40" ht="56.099998474121094" customHeight="1">
      <x:c r="A40" s="23" t="s">
        <x:v>1134</x:v>
      </x:c>
      <x:c r="B40" s="23" t="s">
        <x:v>992</x:v>
      </x:c>
      <x:c r="C40" s="23" t="s">
        <x:v>1043</x:v>
      </x:c>
      <x:c r="D40" s="23" t="s">
        <x:v>1044</x:v>
      </x:c>
      <x:c r="E40" s="23" t="s">
        <x:v>1045</x:v>
      </x:c>
      <x:c r="F40" s="23" t="s">
        <x:v>1046</x:v>
      </x:c>
      <x:c r="G40" s="23">
        <x:v>3</x:v>
      </x:c>
      <x:c r="H40" s="23">
        <x:v>3</x:v>
      </x:c>
      <x:c r="I40" s="23">
        <x:v>3</x:v>
      </x:c>
      <x:c r="J40" s="23"/>
    </x:row>
    <x:row r="41" ht="56.099998474121094" customHeight="1">
      <x:c r="A41" s="23" t="s">
        <x:v>1135</x:v>
      </x:c>
      <x:c r="B41" s="23" t="s">
        <x:v>992</x:v>
      </x:c>
      <x:c r="C41" s="23" t="s">
        <x:v>1043</x:v>
      </x:c>
      <x:c r="D41" s="23" t="s">
        <x:v>1044</x:v>
      </x:c>
      <x:c r="E41" s="23" t="s">
        <x:v>1048</x:v>
      </x:c>
      <x:c r="F41" s="23" t="s">
        <x:v>1049</x:v>
      </x:c>
      <x:c r="G41" s="23">
        <x:v>0</x:v>
      </x:c>
      <x:c r="H41" s="23">
        <x:v>0</x:v>
      </x:c>
      <x:c r="I41" s="23">
        <x:v>0</x:v>
      </x:c>
      <x:c r="J41" s="23"/>
    </x:row>
    <x:row r="42" ht="56.099998474121094" customHeight="1">
      <x:c r="A42" s="23" t="s">
        <x:v>1136</x:v>
      </x:c>
      <x:c r="B42" s="23" t="s">
        <x:v>992</x:v>
      </x:c>
      <x:c r="C42" s="23" t="s">
        <x:v>1043</x:v>
      </x:c>
      <x:c r="D42" s="23" t="s">
        <x:v>1044</x:v>
      </x:c>
      <x:c r="E42" s="23" t="s">
        <x:v>1137</x:v>
      </x:c>
      <x:c r="F42" s="23" t="s">
        <x:v>1046</x:v>
      </x:c>
      <x:c r="G42" s="23">
        <x:v>1</x:v>
      </x:c>
      <x:c r="H42" s="23">
        <x:v>1</x:v>
      </x:c>
      <x:c r="I42" s="23">
        <x:v>1</x:v>
      </x:c>
      <x:c r="J42" s="23"/>
    </x:row>
    <x:row r="43" ht="56.099998474121094" customHeight="1">
      <x:c r="A43" s="23" t="s">
        <x:v>1138</x:v>
      </x:c>
      <x:c r="B43" s="23" t="s">
        <x:v>992</x:v>
      </x:c>
      <x:c r="C43" s="23" t="s">
        <x:v>1043</x:v>
      </x:c>
      <x:c r="D43" s="23" t="s">
        <x:v>1044</x:v>
      </x:c>
      <x:c r="E43" s="23" t="s">
        <x:v>1130</x:v>
      </x:c>
      <x:c r="F43" s="23" t="s">
        <x:v>1046</x:v>
      </x:c>
      <x:c r="G43" s="23">
        <x:v>2</x:v>
      </x:c>
      <x:c r="H43" s="23">
        <x:v>2</x:v>
      </x:c>
      <x:c r="I43" s="23">
        <x:v>2</x:v>
      </x:c>
      <x:c r="J43" s="23"/>
    </x:row>
    <x:row r="44" ht="56.099998474121094" customHeight="1">
      <x:c r="A44" s="23" t="s">
        <x:v>1139</x:v>
      </x:c>
      <x:c r="B44" s="23" t="s">
        <x:v>994</x:v>
      </x:c>
      <x:c r="C44" s="23" t="s">
        <x:v>1043</x:v>
      </x:c>
      <x:c r="D44" s="23" t="s">
        <x:v>1044</x:v>
      </x:c>
      <x:c r="E44" s="23" t="s">
        <x:v>1140</x:v>
      </x:c>
      <x:c r="F44" s="23" t="s">
        <x:v>1141</x:v>
      </x:c>
      <x:c r="G44" s="23" t="s">
        <x:v>1142</x:v>
      </x:c>
      <x:c r="H44" s="23">
        <x:v>5</x:v>
      </x:c>
      <x:c r="I44" s="23">
        <x:v>5</x:v>
      </x:c>
      <x:c r="J44" s="23" t="s">
        <x:v>1143</x:v>
      </x:c>
    </x:row>
    <x:row r="45" ht="56.099998474121094" customHeight="1">
      <x:c r="A45" s="23" t="s">
        <x:v>1144</x:v>
      </x:c>
      <x:c r="B45" s="23" t="s">
        <x:v>994</x:v>
      </x:c>
      <x:c r="C45" s="23" t="s">
        <x:v>1043</x:v>
      </x:c>
      <x:c r="D45" s="23" t="s">
        <x:v>1052</x:v>
      </x:c>
      <x:c r="E45" s="23" t="s">
        <x:v>1145</x:v>
      </x:c>
      <x:c r="F45" s="23" t="s">
        <x:v>1146</x:v>
      </x:c>
      <x:c r="G45" s="23" t="s">
        <x:v>317</x:v>
      </x:c>
      <x:c r="H45" s="23"/>
      <x:c r="I45" s="23"/>
      <x:c r="J45" s="23" t="s">
        <x:v>1147</x:v>
      </x:c>
    </x:row>
    <x:row r="46" ht="56.099998474121094" customHeight="1">
      <x:c r="A46" s="23" t="s">
        <x:v>1148</x:v>
      </x:c>
      <x:c r="B46" s="23" t="s">
        <x:v>994</x:v>
      </x:c>
      <x:c r="C46" s="23" t="s">
        <x:v>1043</x:v>
      </x:c>
      <x:c r="D46" s="23" t="s">
        <x:v>1052</x:v>
      </x:c>
      <x:c r="E46" s="23" t="s">
        <x:v>1149</x:v>
      </x:c>
      <x:c r="F46" s="23" t="s">
        <x:v>1150</x:v>
      </x:c>
      <x:c r="G46" s="23">
        <x:v>10</x:v>
      </x:c>
      <x:c r="H46" s="23"/>
      <x:c r="I46" s="23"/>
      <x:c r="J46" s="23" t="s">
        <x:v>1151</x:v>
      </x:c>
    </x:row>
    <x:row r="47" ht="56.099998474121094" customHeight="1">
      <x:c r="A47" s="23" t="s">
        <x:v>1152</x:v>
      </x:c>
      <x:c r="B47" s="23" t="s">
        <x:v>997</x:v>
      </x:c>
      <x:c r="C47" s="23" t="s">
        <x:v>1043</x:v>
      </x:c>
      <x:c r="D47" s="23" t="s">
        <x:v>1052</x:v>
      </x:c>
      <x:c r="E47" s="23" t="s">
        <x:v>1132</x:v>
      </x:c>
      <x:c r="F47" s="23" t="s">
        <x:v>1054</x:v>
      </x:c>
      <x:c r="G47" s="23">
        <x:v>5</x:v>
      </x:c>
      <x:c r="H47" s="23"/>
      <x:c r="I47" s="23"/>
      <x:c r="J47" s="23" t="s">
        <x:v>1133</x:v>
      </x:c>
    </x:row>
    <x:row r="48" ht="56.099998474121094" customHeight="1">
      <x:c r="A48" s="23" t="s">
        <x:v>1153</x:v>
      </x:c>
      <x:c r="B48" s="23" t="s">
        <x:v>997</x:v>
      </x:c>
      <x:c r="C48" s="23" t="s">
        <x:v>1043</x:v>
      </x:c>
      <x:c r="D48" s="23" t="s">
        <x:v>1044</x:v>
      </x:c>
      <x:c r="E48" s="23" t="s">
        <x:v>1045</x:v>
      </x:c>
      <x:c r="F48" s="23" t="s">
        <x:v>1049</x:v>
      </x:c>
      <x:c r="G48" s="23">
        <x:v>0</x:v>
      </x:c>
      <x:c r="H48" s="23">
        <x:v>0</x:v>
      </x:c>
      <x:c r="I48" s="23">
        <x:v>0</x:v>
      </x:c>
      <x:c r="J48" s="23"/>
    </x:row>
    <x:row r="49" ht="56.099998474121094" customHeight="1">
      <x:c r="A49" s="23" t="s">
        <x:v>1154</x:v>
      </x:c>
      <x:c r="B49" s="23" t="s">
        <x:v>997</x:v>
      </x:c>
      <x:c r="C49" s="23" t="s">
        <x:v>1043</x:v>
      </x:c>
      <x:c r="D49" s="23" t="s">
        <x:v>1044</x:v>
      </x:c>
      <x:c r="E49" s="23" t="s">
        <x:v>1137</x:v>
      </x:c>
      <x:c r="F49" s="23" t="s">
        <x:v>1046</x:v>
      </x:c>
      <x:c r="G49" s="23">
        <x:v>2</x:v>
      </x:c>
      <x:c r="H49" s="23">
        <x:v>2</x:v>
      </x:c>
      <x:c r="I49" s="23">
        <x:v>2</x:v>
      </x:c>
      <x:c r="J49" s="23"/>
    </x:row>
    <x:row r="50" ht="56.099998474121094" customHeight="1">
      <x:c r="A50" s="23" t="s">
        <x:v>1155</x:v>
      </x:c>
      <x:c r="B50" s="23" t="s">
        <x:v>997</x:v>
      </x:c>
      <x:c r="C50" s="23" t="s">
        <x:v>1043</x:v>
      </x:c>
      <x:c r="D50" s="23" t="s">
        <x:v>1044</x:v>
      </x:c>
      <x:c r="E50" s="23" t="s">
        <x:v>1130</x:v>
      </x:c>
      <x:c r="F50" s="23" t="s">
        <x:v>1046</x:v>
      </x:c>
      <x:c r="G50" s="23">
        <x:v>2</x:v>
      </x:c>
      <x:c r="H50" s="23">
        <x:v>2</x:v>
      </x:c>
      <x:c r="I50" s="23">
        <x:v>2</x:v>
      </x:c>
      <x:c r="J50" s="23"/>
    </x:row>
    <x:row r="51" ht="56.099998474121094" customHeight="1">
      <x:c r="A51" s="23" t="s">
        <x:v>1156</x:v>
      </x:c>
      <x:c r="B51" s="23" t="s">
        <x:v>999</x:v>
      </x:c>
      <x:c r="C51" s="23" t="s">
        <x:v>1043</x:v>
      </x:c>
      <x:c r="D51" s="23" t="s">
        <x:v>1044</x:v>
      </x:c>
      <x:c r="E51" s="23" t="s">
        <x:v>1081</x:v>
      </x:c>
      <x:c r="F51" s="23" t="s">
        <x:v>1049</x:v>
      </x:c>
      <x:c r="G51" s="23">
        <x:v>0</x:v>
      </x:c>
      <x:c r="H51" s="23">
        <x:v>0</x:v>
      </x:c>
      <x:c r="I51" s="23">
        <x:v>0</x:v>
      </x:c>
      <x:c r="J51" s="23"/>
    </x:row>
    <x:row r="52" ht="56.099998474121094" customHeight="1">
      <x:c r="A52" s="23" t="s">
        <x:v>1157</x:v>
      </x:c>
      <x:c r="B52" s="23" t="s">
        <x:v>1002</x:v>
      </x:c>
      <x:c r="C52" s="23" t="s">
        <x:v>1043</x:v>
      </x:c>
      <x:c r="D52" s="23" t="s">
        <x:v>1044</x:v>
      </x:c>
      <x:c r="E52" s="23" t="s">
        <x:v>1158</x:v>
      </x:c>
      <x:c r="F52" s="23" t="s">
        <x:v>941</x:v>
      </x:c>
      <x:c r="G52" s="23" t="s">
        <x:v>941</x:v>
      </x:c>
      <x:c r="H52" s="23"/>
      <x:c r="I52" s="23"/>
      <x:c r="J52" s="23" t="s">
        <x:v>1159</x:v>
      </x:c>
    </x:row>
    <x:row r="53" ht="56.099998474121094" customHeight="1">
      <x:c r="A53" s="23" t="s">
        <x:v>1160</x:v>
      </x:c>
      <x:c r="B53" s="23" t="s">
        <x:v>1012</x:v>
      </x:c>
      <x:c r="C53" s="23" t="s">
        <x:v>1043</x:v>
      </x:c>
      <x:c r="D53" s="23" t="s">
        <x:v>1044</x:v>
      </x:c>
      <x:c r="E53" s="23" t="s">
        <x:v>1161</x:v>
      </x:c>
      <x:c r="F53" s="23" t="s">
        <x:v>1162</x:v>
      </x:c>
      <x:c r="G53" s="23">
        <x:v>2</x:v>
      </x:c>
      <x:c r="H53" s="23">
        <x:v>2</x:v>
      </x:c>
      <x:c r="I53" s="23"/>
      <x:c r="J53" s="23" t="s">
        <x:v>1163</x:v>
      </x:c>
    </x:row>
    <x:row r="54" ht="56.099998474121094" customHeight="1">
      <x:c r="A54" s="23" t="s">
        <x:v>1164</x:v>
      </x:c>
      <x:c r="B54" s="23" t="s">
        <x:v>1005</x:v>
      </x:c>
      <x:c r="C54" s="23" t="s">
        <x:v>1043</x:v>
      </x:c>
      <x:c r="D54" s="23" t="s">
        <x:v>1044</x:v>
      </x:c>
      <x:c r="E54" s="23" t="s">
        <x:v>1165</x:v>
      </x:c>
      <x:c r="F54" s="23" t="s">
        <x:v>1046</x:v>
      </x:c>
      <x:c r="G54" s="23">
        <x:v>2</x:v>
      </x:c>
      <x:c r="H54" s="23">
        <x:v>2</x:v>
      </x:c>
      <x:c r="I54" s="23"/>
      <x:c r="J54" s="23" t="s">
        <x:v>1166</x:v>
      </x:c>
    </x:row>
    <x:row r="55" ht="56.099998474121094" customHeight="1">
      <x:c r="A55" s="23" t="s">
        <x:v>1167</x:v>
      </x:c>
      <x:c r="B55" s="23" t="s">
        <x:v>1005</x:v>
      </x:c>
      <x:c r="C55" s="23" t="s">
        <x:v>1043</x:v>
      </x:c>
      <x:c r="D55" s="23" t="s">
        <x:v>1044</x:v>
      </x:c>
      <x:c r="E55" s="23" t="s">
        <x:v>1168</x:v>
      </x:c>
      <x:c r="F55" s="23" t="s">
        <x:v>1046</x:v>
      </x:c>
      <x:c r="G55" s="23">
        <x:v>2</x:v>
      </x:c>
      <x:c r="H55" s="23">
        <x:v>2</x:v>
      </x:c>
      <x:c r="I55" s="23"/>
      <x:c r="J55" s="23" t="s">
        <x:v>1169</x:v>
      </x:c>
    </x:row>
    <x:row r="56" ht="56.099998474121094" customHeight="1">
      <x:c r="A56" s="23" t="s">
        <x:v>1170</x:v>
      </x:c>
      <x:c r="B56" s="23" t="s">
        <x:v>1016</x:v>
      </x:c>
      <x:c r="C56" s="23" t="s">
        <x:v>1171</x:v>
      </x:c>
      <x:c r="D56" s="23" t="s">
        <x:v>1044</x:v>
      </x:c>
      <x:c r="E56" s="23" t="s">
        <x:v>1172</x:v>
      </x:c>
      <x:c r="F56" s="23" t="s">
        <x:v>1049</x:v>
      </x:c>
      <x:c r="G56" s="23">
        <x:v>4</x:v>
      </x:c>
      <x:c r="H56" s="23">
        <x:v>4</x:v>
      </x:c>
      <x:c r="I56" s="23"/>
      <x:c r="J56" s="23" t="s">
        <x:v>1173</x:v>
      </x:c>
    </x:row>
    <x:row r="57" ht="56.099998474121094" customHeight="1">
      <x:c r="A57" s="23" t="s">
        <x:v>1174</x:v>
      </x:c>
      <x:c r="B57" s="23" t="s">
        <x:v>1016</x:v>
      </x:c>
      <x:c r="C57" s="23" t="s">
        <x:v>1171</x:v>
      </x:c>
      <x:c r="D57" s="23" t="s">
        <x:v>1044</x:v>
      </x:c>
      <x:c r="E57" s="23" t="s">
        <x:v>1175</x:v>
      </x:c>
      <x:c r="F57" s="23" t="s">
        <x:v>1049</x:v>
      </x:c>
      <x:c r="G57" s="23">
        <x:v>1</x:v>
      </x:c>
      <x:c r="H57" s="23">
        <x:v>1</x:v>
      </x:c>
      <x:c r="I57" s="23"/>
      <x:c r="J57" s="23" t="s">
        <x:v>1176</x:v>
      </x:c>
    </x:row>
    <x:row r="58" ht="56.099998474121094" customHeight="1">
      <x:c r="A58" s="23" t="s">
        <x:v>1177</x:v>
      </x:c>
      <x:c r="B58" s="23" t="s">
        <x:v>1016</x:v>
      </x:c>
      <x:c r="C58" s="23" t="s">
        <x:v>1178</x:v>
      </x:c>
      <x:c r="D58" s="23" t="s">
        <x:v>1044</x:v>
      </x:c>
      <x:c r="E58" s="23" t="s">
        <x:v>1179</x:v>
      </x:c>
      <x:c r="F58" s="23" t="s">
        <x:v>1046</x:v>
      </x:c>
      <x:c r="G58" s="23">
        <x:v>2</x:v>
      </x:c>
      <x:c r="H58" s="23">
        <x:v>2</x:v>
      </x:c>
      <x:c r="I58" s="23"/>
      <x:c r="J58" s="23"/>
    </x:row>
    <x:row r="59" ht="56.099998474121094" customHeight="1">
      <x:c r="A59" s="23" t="s">
        <x:v>1180</x:v>
      </x:c>
      <x:c r="B59" s="23" t="s">
        <x:v>1016</x:v>
      </x:c>
      <x:c r="C59" s="23" t="s">
        <x:v>1178</x:v>
      </x:c>
      <x:c r="D59" s="23" t="s">
        <x:v>1044</x:v>
      </x:c>
      <x:c r="E59" s="23" t="s">
        <x:v>1181</x:v>
      </x:c>
      <x:c r="F59" s="23" t="s">
        <x:v>1049</x:v>
      </x:c>
      <x:c r="G59" s="23">
        <x:v>0</x:v>
      </x:c>
      <x:c r="H59" s="23">
        <x:v>0</x:v>
      </x:c>
      <x:c r="I59" s="23"/>
      <x:c r="J59" s="23"/>
    </x:row>
    <x:row r="60" ht="56.099998474121094" customHeight="1">
      <x:c r="A60" s="23" t="s">
        <x:v>1182</x:v>
      </x:c>
      <x:c r="B60" s="23" t="s">
        <x:v>1016</x:v>
      </x:c>
      <x:c r="C60" s="23" t="s">
        <x:v>1043</x:v>
      </x:c>
      <x:c r="D60" s="23" t="s">
        <x:v>1052</x:v>
      </x:c>
      <x:c r="E60" s="23" t="s">
        <x:v>1183</x:v>
      </x:c>
      <x:c r="F60" s="23" t="s">
        <x:v>1146</x:v>
      </x:c>
      <x:c r="G60" s="23">
        <x:v>3</x:v>
      </x:c>
      <x:c r="H60" s="23"/>
      <x:c r="I60" s="23"/>
      <x:c r="J60" s="23" t="s">
        <x:v>1184</x:v>
      </x:c>
    </x:row>
    <x:row r="61" ht="56.099998474121094" customHeight="1">
      <x:c r="A61" s="23" t="s">
        <x:v>1185</x:v>
      </x:c>
      <x:c r="B61" s="23" t="s">
        <x:v>1016</x:v>
      </x:c>
      <x:c r="C61" s="23" t="s">
        <x:v>1095</x:v>
      </x:c>
      <x:c r="D61" s="23" t="s">
        <x:v>1044</x:v>
      </x:c>
      <x:c r="E61" s="23" t="s">
        <x:v>1186</x:v>
      </x:c>
      <x:c r="F61" s="23" t="s">
        <x:v>1187</x:v>
      </x:c>
      <x:c r="G61" s="23" t="s">
        <x:v>457</x:v>
      </x:c>
      <x:c r="H61" s="23"/>
      <x:c r="I61" s="23"/>
      <x:c r="J61" s="23" t="s">
        <x:v>1188</x:v>
      </x:c>
    </x:row>
    <x:row r="62" ht="56.099998474121094" customHeight="1">
      <x:c r="A62" s="23" t="s">
        <x:v>1189</x:v>
      </x:c>
      <x:c r="B62" s="23" t="s">
        <x:v>1020</x:v>
      </x:c>
      <x:c r="C62" s="23" t="s">
        <x:v>1190</x:v>
      </x:c>
      <x:c r="D62" s="23" t="s">
        <x:v>1044</x:v>
      </x:c>
      <x:c r="E62" s="23" t="s">
        <x:v>1081</x:v>
      </x:c>
      <x:c r="F62" s="23" t="s">
        <x:v>1049</x:v>
      </x:c>
      <x:c r="G62" s="23">
        <x:v>0</x:v>
      </x:c>
      <x:c r="H62" s="23">
        <x:v>0</x:v>
      </x:c>
      <x:c r="I62" s="23"/>
      <x:c r="J62" s="23" t="s">
        <x:v>1191</x:v>
      </x:c>
    </x:row>
    <x:row r="63" ht="56.099998474121094" customHeight="1">
      <x:c r="A63" s="23" t="s">
        <x:v>1192</x:v>
      </x:c>
      <x:c r="B63" s="23" t="s">
        <x:v>1028</x:v>
      </x:c>
      <x:c r="C63" s="23" t="s">
        <x:v>1190</x:v>
      </x:c>
      <x:c r="D63" s="23" t="s">
        <x:v>1044</x:v>
      </x:c>
      <x:c r="E63" s="23" t="s">
        <x:v>1081</x:v>
      </x:c>
      <x:c r="F63" s="23" t="s">
        <x:v>1049</x:v>
      </x:c>
      <x:c r="G63" s="23">
        <x:v>0</x:v>
      </x:c>
      <x:c r="H63" s="23">
        <x:v>0</x:v>
      </x:c>
      <x:c r="I63" s="23"/>
      <x:c r="J63" s="23" t="s">
        <x:v>1191</x:v>
      </x:c>
    </x:row>
  </x:sheetData>
  <x:mergeCells>
    <x:mergeCell ref="A1:J1"/>
    <x:mergeCell ref="A2:J2"/>
  </x:mergeCells>
  <x:pageMargins left="0.7" right="0.7" top="0.75" bottom="0.75" header="0.3" footer="0.3"/>
  <x:tableParts count="1">
    <x:tablePart xmlns:r="http://schemas.openxmlformats.org/officeDocument/2006/relationships" r:id="R942f20cc8fd5495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5" customWidth="1"/>
    <x:col min="2" max="2" width="24" customWidth="1"/>
    <x:col min="3" max="3" width="38" customWidth="1"/>
    <x:col min="4" max="4" width="24" customWidth="1"/>
    <x:col min="5" max="5" width="27" customWidth="1"/>
    <x:col min="6" max="6" width="64" customWidth="1"/>
    <x:col min="7" max="8" width="19" customWidth="1"/>
    <x:col min="9" max="9" width="38" customWidth="1"/>
    <x:col min="10" max="10" width="68" customWidth="1"/>
  </x:cols>
  <x:sheetData>
    <x:row r="1" ht="18.75">
      <x:c r="A1" s="65" t="s">
        <x:v>1193</x:v>
      </x:c>
      <x:c r="B1" s="65"/>
      <x:c r="C1" s="65"/>
      <x:c r="D1" s="65"/>
      <x:c r="E1" s="65"/>
      <x:c r="F1" s="65"/>
      <x:c r="G1" s="65"/>
      <x:c r="H1" s="65"/>
      <x:c r="I1" s="65"/>
      <x:c r="J1" s="65"/>
    </x:row>
    <x:row r="2">
      <x:c r="A2" s="64" t="s">
        <x:v>1194</x:v>
      </x:c>
      <x:c r="B2" s="64"/>
      <x:c r="C2" s="64"/>
      <x:c r="D2" s="64"/>
      <x:c r="E2" s="64"/>
      <x:c r="F2" s="64"/>
      <x:c r="G2" s="64"/>
      <x:c r="H2" s="64"/>
      <x:c r="I2" s="64"/>
      <x:c r="J2" s="64"/>
    </x:row>
    <x:row r="4" ht="72" customHeight="1">
      <x:c r="A4" s="23" t="s">
        <x:v>1195</x:v>
      </x:c>
      <x:c r="B4" s="23" t="s">
        <x:v>914</x:v>
      </x:c>
      <x:c r="C4" s="23" t="s">
        <x:v>1196</x:v>
      </x:c>
      <x:c r="D4" s="23" t="s">
        <x:v>1197</x:v>
      </x:c>
      <x:c r="E4" s="23" t="s">
        <x:v>1198</x:v>
      </x:c>
      <x:c r="F4" s="23" t="s">
        <x:v>1199</x:v>
      </x:c>
      <x:c r="G4" s="23" t="s">
        <x:v>1200</x:v>
      </x:c>
      <x:c r="H4" s="23" t="s">
        <x:v>1201</x:v>
      </x:c>
      <x:c r="I4" s="23" t="s">
        <x:v>1202</x:v>
      </x:c>
      <x:c r="J4" s="23" t="s">
        <x:v>1203</x:v>
      </x:c>
    </x:row>
    <x:row r="5" ht="72" customHeight="1">
      <x:c r="A5" s="23" t="s">
        <x:v>1204</x:v>
      </x:c>
      <x:c r="B5" s="23" t="s">
        <x:v>924</x:v>
      </x:c>
      <x:c r="C5" s="23" t="s">
        <x:v>1205</x:v>
      </x:c>
      <x:c r="D5" s="23" t="s">
        <x:v>1206</x:v>
      </x:c>
      <x:c r="E5" s="23" t="s">
        <x:v>1207</x:v>
      </x:c>
      <x:c r="F5" s="23" t="s">
        <x:v>1208</x:v>
      </x:c>
      <x:c r="G5" s="23">
        <x:v>2</x:v>
      </x:c>
      <x:c r="H5" s="23">
        <x:v>2</x:v>
      </x:c>
      <x:c r="I5" s="23" t="s">
        <x:v>1209</x:v>
      </x:c>
      <x:c r="J5" s="23" t="s">
        <x:v>1210</x:v>
      </x:c>
    </x:row>
    <x:row r="6" ht="72" customHeight="1">
      <x:c r="A6" s="23" t="s">
        <x:v>1211</x:v>
      </x:c>
      <x:c r="B6" s="23" t="s">
        <x:v>938</x:v>
      </x:c>
      <x:c r="C6" s="23" t="s">
        <x:v>1212</x:v>
      </x:c>
      <x:c r="D6" s="23" t="s">
        <x:v>1206</x:v>
      </x:c>
      <x:c r="E6" s="23" t="s">
        <x:v>1213</x:v>
      </x:c>
      <x:c r="F6" s="23" t="s">
        <x:v>1214</x:v>
      </x:c>
      <x:c r="G6" s="23">
        <x:v>2</x:v>
      </x:c>
      <x:c r="H6" s="23">
        <x:v>2</x:v>
      </x:c>
      <x:c r="I6" s="23" t="s">
        <x:v>1215</x:v>
      </x:c>
      <x:c r="J6" s="23" t="s">
        <x:v>1216</x:v>
      </x:c>
    </x:row>
    <x:row r="7" ht="72" customHeight="1">
      <x:c r="A7" s="23" t="s">
        <x:v>1217</x:v>
      </x:c>
      <x:c r="B7" s="23" t="s">
        <x:v>943</x:v>
      </x:c>
      <x:c r="C7" s="23" t="s">
        <x:v>1218</x:v>
      </x:c>
      <x:c r="D7" s="23" t="s">
        <x:v>1206</x:v>
      </x:c>
      <x:c r="E7" s="23" t="s">
        <x:v>1213</x:v>
      </x:c>
      <x:c r="F7" s="23" t="s">
        <x:v>1219</x:v>
      </x:c>
      <x:c r="G7" s="23">
        <x:v>3</x:v>
      </x:c>
      <x:c r="H7" s="23">
        <x:v>3</x:v>
      </x:c>
      <x:c r="I7" s="23" t="s">
        <x:v>1215</x:v>
      </x:c>
      <x:c r="J7" s="23"/>
    </x:row>
    <x:row r="8" ht="72" customHeight="1">
      <x:c r="A8" s="23" t="s">
        <x:v>1089</x:v>
      </x:c>
      <x:c r="B8" s="23" t="s">
        <x:v>946</x:v>
      </x:c>
      <x:c r="C8" s="23" t="s">
        <x:v>1220</x:v>
      </x:c>
      <x:c r="D8" s="23" t="s">
        <x:v>1221</x:v>
      </x:c>
      <x:c r="E8" s="23" t="s">
        <x:v>1222</x:v>
      </x:c>
      <x:c r="F8" s="23" t="s">
        <x:v>1223</x:v>
      </x:c>
      <x:c r="G8" s="23"/>
      <x:c r="H8" s="23"/>
      <x:c r="I8" s="23" t="s">
        <x:v>1224</x:v>
      </x:c>
      <x:c r="J8" s="23" t="s">
        <x:v>1225</x:v>
      </x:c>
    </x:row>
    <x:row r="9" ht="72" customHeight="1">
      <x:c r="A9" s="23" t="s">
        <x:v>1226</x:v>
      </x:c>
      <x:c r="B9" s="23" t="s">
        <x:v>948</x:v>
      </x:c>
      <x:c r="C9" s="23" t="s">
        <x:v>1227</x:v>
      </x:c>
      <x:c r="D9" s="23" t="s">
        <x:v>1090</x:v>
      </x:c>
      <x:c r="E9" s="23" t="s">
        <x:v>1222</x:v>
      </x:c>
      <x:c r="F9" s="23" t="s">
        <x:v>1228</x:v>
      </x:c>
      <x:c r="G9" s="23"/>
      <x:c r="H9" s="23"/>
      <x:c r="I9" s="23" t="s">
        <x:v>1229</x:v>
      </x:c>
      <x:c r="J9" s="23"/>
    </x:row>
    <x:row r="10" ht="72" customHeight="1">
      <x:c r="A10" s="23" t="s">
        <x:v>1230</x:v>
      </x:c>
      <x:c r="B10" s="23" t="s">
        <x:v>950</x:v>
      </x:c>
      <x:c r="C10" s="23" t="s">
        <x:v>1227</x:v>
      </x:c>
      <x:c r="D10" s="23" t="s">
        <x:v>1090</x:v>
      </x:c>
      <x:c r="E10" s="23" t="s">
        <x:v>1222</x:v>
      </x:c>
      <x:c r="F10" s="23" t="s">
        <x:v>1228</x:v>
      </x:c>
      <x:c r="G10" s="23"/>
      <x:c r="H10" s="23"/>
      <x:c r="I10" s="23" t="s">
        <x:v>1229</x:v>
      </x:c>
      <x:c r="J10" s="23"/>
    </x:row>
    <x:row r="11" ht="72" customHeight="1">
      <x:c r="A11" s="23" t="s">
        <x:v>1231</x:v>
      </x:c>
      <x:c r="B11" s="23" t="s">
        <x:v>952</x:v>
      </x:c>
      <x:c r="C11" s="23" t="s">
        <x:v>1227</x:v>
      </x:c>
      <x:c r="D11" s="23" t="s">
        <x:v>1090</x:v>
      </x:c>
      <x:c r="E11" s="23" t="s">
        <x:v>1222</x:v>
      </x:c>
      <x:c r="F11" s="23" t="s">
        <x:v>1228</x:v>
      </x:c>
      <x:c r="G11" s="23"/>
      <x:c r="H11" s="23"/>
      <x:c r="I11" s="23" t="s">
        <x:v>1229</x:v>
      </x:c>
      <x:c r="J11" s="23"/>
    </x:row>
    <x:row r="12" ht="72" customHeight="1">
      <x:c r="A12" s="23" t="s">
        <x:v>1232</x:v>
      </x:c>
      <x:c r="B12" s="23" t="s">
        <x:v>958</x:v>
      </x:c>
      <x:c r="C12" s="23" t="s">
        <x:v>1233</x:v>
      </x:c>
      <x:c r="D12" s="23" t="s">
        <x:v>1206</x:v>
      </x:c>
      <x:c r="E12" s="23" t="s">
        <x:v>1234</x:v>
      </x:c>
      <x:c r="F12" s="23" t="s">
        <x:v>1235</x:v>
      </x:c>
      <x:c r="G12" s="23">
        <x:v>2</x:v>
      </x:c>
      <x:c r="H12" s="23">
        <x:v>2</x:v>
      </x:c>
      <x:c r="I12" s="23" t="s">
        <x:v>1236</x:v>
      </x:c>
      <x:c r="J12" s="23" t="s">
        <x:v>1237</x:v>
      </x:c>
    </x:row>
    <x:row r="13" ht="72" customHeight="1">
      <x:c r="A13" s="23" t="s">
        <x:v>1238</x:v>
      </x:c>
      <x:c r="B13" s="23" t="s">
        <x:v>962</x:v>
      </x:c>
      <x:c r="C13" s="23" t="s">
        <x:v>1239</x:v>
      </x:c>
      <x:c r="D13" s="23" t="s">
        <x:v>1206</x:v>
      </x:c>
      <x:c r="E13" s="23" t="s">
        <x:v>1234</x:v>
      </x:c>
      <x:c r="F13" s="23" t="s">
        <x:v>1240</x:v>
      </x:c>
      <x:c r="G13" s="23">
        <x:v>2</x:v>
      </x:c>
      <x:c r="H13" s="23">
        <x:v>2</x:v>
      </x:c>
      <x:c r="I13" s="23" t="s">
        <x:v>1236</x:v>
      </x:c>
      <x:c r="J13" s="23" t="s">
        <x:v>1241</x:v>
      </x:c>
    </x:row>
    <x:row r="14" ht="72" customHeight="1">
      <x:c r="A14" s="23" t="s">
        <x:v>1242</x:v>
      </x:c>
      <x:c r="B14" s="23" t="s">
        <x:v>962</x:v>
      </x:c>
      <x:c r="C14" s="23" t="s">
        <x:v>1243</x:v>
      </x:c>
      <x:c r="D14" s="23" t="s">
        <x:v>1206</x:v>
      </x:c>
      <x:c r="E14" s="23" t="s">
        <x:v>1234</x:v>
      </x:c>
      <x:c r="F14" s="23" t="s">
        <x:v>1244</x:v>
      </x:c>
      <x:c r="G14" s="23">
        <x:v>1</x:v>
      </x:c>
      <x:c r="H14" s="23">
        <x:v>1</x:v>
      </x:c>
      <x:c r="I14" s="23" t="s">
        <x:v>1236</x:v>
      </x:c>
      <x:c r="J14" s="23" t="s">
        <x:v>1245</x:v>
      </x:c>
    </x:row>
    <x:row r="15" ht="72" customHeight="1">
      <x:c r="A15" s="23" t="s">
        <x:v>1246</x:v>
      </x:c>
      <x:c r="B15" s="23" t="s">
        <x:v>962</x:v>
      </x:c>
      <x:c r="C15" s="23" t="s">
        <x:v>1247</x:v>
      </x:c>
      <x:c r="D15" s="23" t="s">
        <x:v>1248</x:v>
      </x:c>
      <x:c r="E15" s="23" t="s">
        <x:v>1234</x:v>
      </x:c>
      <x:c r="F15" s="23" t="s">
        <x:v>1249</x:v>
      </x:c>
      <x:c r="G15" s="23">
        <x:v>1</x:v>
      </x:c>
      <x:c r="H15" s="23">
        <x:v>1</x:v>
      </x:c>
      <x:c r="I15" s="23" t="s">
        <x:v>1250</x:v>
      </x:c>
      <x:c r="J15" s="23" t="s">
        <x:v>1251</x:v>
      </x:c>
    </x:row>
    <x:row r="16" ht="72" customHeight="1">
      <x:c r="A16" s="23" t="s">
        <x:v>1252</x:v>
      </x:c>
      <x:c r="B16" s="23" t="s">
        <x:v>974</x:v>
      </x:c>
      <x:c r="C16" s="23" t="s">
        <x:v>1253</x:v>
      </x:c>
      <x:c r="D16" s="23" t="s">
        <x:v>1206</x:v>
      </x:c>
      <x:c r="E16" s="23" t="s">
        <x:v>1213</x:v>
      </x:c>
      <x:c r="F16" s="23" t="s">
        <x:v>1214</x:v>
      </x:c>
      <x:c r="G16" s="23">
        <x:v>2</x:v>
      </x:c>
      <x:c r="H16" s="23">
        <x:v>2</x:v>
      </x:c>
      <x:c r="I16" s="23" t="s">
        <x:v>1215</x:v>
      </x:c>
      <x:c r="J16" s="23"/>
    </x:row>
    <x:row r="17" ht="72" customHeight="1">
      <x:c r="A17" s="23" t="s">
        <x:v>1254</x:v>
      </x:c>
      <x:c r="B17" s="23" t="s">
        <x:v>976</x:v>
      </x:c>
      <x:c r="C17" s="23" t="s">
        <x:v>1255</x:v>
      </x:c>
      <x:c r="D17" s="23" t="s">
        <x:v>1256</x:v>
      </x:c>
      <x:c r="E17" s="23" t="s">
        <x:v>1213</x:v>
      </x:c>
      <x:c r="F17" s="23" t="s">
        <x:v>1214</x:v>
      </x:c>
      <x:c r="G17" s="23">
        <x:v>2</x:v>
      </x:c>
      <x:c r="H17" s="23">
        <x:v>2</x:v>
      </x:c>
      <x:c r="I17" s="23" t="s">
        <x:v>1215</x:v>
      </x:c>
      <x:c r="J17" s="23" t="s">
        <x:v>1257</x:v>
      </x:c>
    </x:row>
    <x:row r="18" ht="72" customHeight="1">
      <x:c r="A18" s="23" t="s">
        <x:v>1258</x:v>
      </x:c>
      <x:c r="B18" s="23" t="s">
        <x:v>979</x:v>
      </x:c>
      <x:c r="C18" s="23" t="s">
        <x:v>1259</x:v>
      </x:c>
      <x:c r="D18" s="23" t="s">
        <x:v>1206</x:v>
      </x:c>
      <x:c r="E18" s="23" t="s">
        <x:v>1213</x:v>
      </x:c>
      <x:c r="F18" s="23" t="s">
        <x:v>1260</x:v>
      </x:c>
      <x:c r="G18" s="23">
        <x:v>2</x:v>
      </x:c>
      <x:c r="H18" s="23">
        <x:v>2</x:v>
      </x:c>
      <x:c r="I18" s="23" t="s">
        <x:v>1215</x:v>
      </x:c>
      <x:c r="J18" s="23" t="s">
        <x:v>1261</x:v>
      </x:c>
    </x:row>
    <x:row r="19" ht="72" customHeight="1">
      <x:c r="A19" s="23" t="s">
        <x:v>1262</x:v>
      </x:c>
      <x:c r="B19" s="23" t="s">
        <x:v>981</x:v>
      </x:c>
      <x:c r="C19" s="23" t="s">
        <x:v>1263</x:v>
      </x:c>
      <x:c r="D19" s="23" t="s">
        <x:v>1206</x:v>
      </x:c>
      <x:c r="E19" s="23" t="s">
        <x:v>1213</x:v>
      </x:c>
      <x:c r="F19" s="23" t="s">
        <x:v>1214</x:v>
      </x:c>
      <x:c r="G19" s="23">
        <x:v>2</x:v>
      </x:c>
      <x:c r="H19" s="23">
        <x:v>2</x:v>
      </x:c>
      <x:c r="I19" s="23" t="s">
        <x:v>1215</x:v>
      </x:c>
      <x:c r="J19" s="23"/>
    </x:row>
    <x:row r="20" ht="72" customHeight="1">
      <x:c r="A20" s="23" t="s">
        <x:v>1264</x:v>
      </x:c>
      <x:c r="B20" s="23" t="s">
        <x:v>983</x:v>
      </x:c>
      <x:c r="C20" s="23" t="s">
        <x:v>1265</x:v>
      </x:c>
      <x:c r="D20" s="23" t="s">
        <x:v>1206</x:v>
      </x:c>
      <x:c r="E20" s="23" t="s">
        <x:v>1213</x:v>
      </x:c>
      <x:c r="F20" s="23" t="s">
        <x:v>1266</x:v>
      </x:c>
      <x:c r="G20" s="23">
        <x:v>2</x:v>
      </x:c>
      <x:c r="H20" s="23">
        <x:v>2</x:v>
      </x:c>
      <x:c r="I20" s="23" t="s">
        <x:v>1215</x:v>
      </x:c>
      <x:c r="J20" s="23" t="s">
        <x:v>1267</x:v>
      </x:c>
    </x:row>
    <x:row r="21" ht="72" customHeight="1">
      <x:c r="A21" s="23" t="s">
        <x:v>1268</x:v>
      </x:c>
      <x:c r="B21" s="23" t="s">
        <x:v>985</x:v>
      </x:c>
      <x:c r="C21" s="23" t="s">
        <x:v>1269</x:v>
      </x:c>
      <x:c r="D21" s="23" t="s">
        <x:v>1221</x:v>
      </x:c>
      <x:c r="E21" s="23" t="s">
        <x:v>1270</x:v>
      </x:c>
      <x:c r="F21" s="23" t="s">
        <x:v>1271</x:v>
      </x:c>
      <x:c r="G21" s="23"/>
      <x:c r="H21" s="23"/>
      <x:c r="I21" s="23" t="s">
        <x:v>1272</x:v>
      </x:c>
      <x:c r="J21" s="23" t="s">
        <x:v>1273</x:v>
      </x:c>
    </x:row>
    <x:row r="22" ht="72" customHeight="1">
      <x:c r="A22" s="23" t="s">
        <x:v>1274</x:v>
      </x:c>
      <x:c r="B22" s="23" t="s">
        <x:v>987</x:v>
      </x:c>
      <x:c r="C22" s="23" t="s">
        <x:v>1275</x:v>
      </x:c>
      <x:c r="D22" s="23" t="s">
        <x:v>1206</x:v>
      </x:c>
      <x:c r="E22" s="23" t="s">
        <x:v>1234</x:v>
      </x:c>
      <x:c r="F22" s="23" t="s">
        <x:v>1276</x:v>
      </x:c>
      <x:c r="G22" s="23">
        <x:v>4</x:v>
      </x:c>
      <x:c r="H22" s="23">
        <x:v>5</x:v>
      </x:c>
      <x:c r="I22" s="23" t="s">
        <x:v>1277</x:v>
      </x:c>
      <x:c r="J22" s="23"/>
    </x:row>
    <x:row r="23" ht="72" customHeight="1">
      <x:c r="A23" s="23" t="s">
        <x:v>1278</x:v>
      </x:c>
      <x:c r="B23" s="23" t="s">
        <x:v>992</x:v>
      </x:c>
      <x:c r="C23" s="23" t="s">
        <x:v>1279</x:v>
      </x:c>
      <x:c r="D23" s="23" t="s">
        <x:v>1090</x:v>
      </x:c>
      <x:c r="E23" s="23" t="s">
        <x:v>1234</x:v>
      </x:c>
      <x:c r="F23" s="23" t="s">
        <x:v>1280</x:v>
      </x:c>
      <x:c r="G23" s="23">
        <x:v>4</x:v>
      </x:c>
      <x:c r="H23" s="23">
        <x:v>5</x:v>
      </x:c>
      <x:c r="I23" s="23" t="s">
        <x:v>1281</x:v>
      </x:c>
      <x:c r="J23" s="23"/>
    </x:row>
    <x:row r="24" ht="72" customHeight="1">
      <x:c r="A24" s="23" t="s">
        <x:v>1282</x:v>
      </x:c>
      <x:c r="B24" s="23" t="s">
        <x:v>994</x:v>
      </x:c>
      <x:c r="C24" s="23" t="s">
        <x:v>1283</x:v>
      </x:c>
      <x:c r="D24" s="23" t="s">
        <x:v>1221</x:v>
      </x:c>
      <x:c r="E24" s="23" t="s">
        <x:v>1284</x:v>
      </x:c>
      <x:c r="F24" s="23" t="s">
        <x:v>1285</x:v>
      </x:c>
      <x:c r="G24" s="23"/>
      <x:c r="H24" s="23"/>
      <x:c r="I24" s="23" t="s">
        <x:v>1286</x:v>
      </x:c>
      <x:c r="J24" s="23" t="s">
        <x:v>1287</x:v>
      </x:c>
    </x:row>
    <x:row r="25" ht="72" customHeight="1">
      <x:c r="A25" s="23" t="s">
        <x:v>1288</x:v>
      </x:c>
      <x:c r="B25" s="23" t="s">
        <x:v>997</x:v>
      </x:c>
      <x:c r="C25" s="23" t="s">
        <x:v>1279</x:v>
      </x:c>
      <x:c r="D25" s="23" t="s">
        <x:v>1090</x:v>
      </x:c>
      <x:c r="E25" s="23" t="s">
        <x:v>1234</x:v>
      </x:c>
      <x:c r="F25" s="23" t="s">
        <x:v>1280</x:v>
      </x:c>
      <x:c r="G25" s="23">
        <x:v>4</x:v>
      </x:c>
      <x:c r="H25" s="23">
        <x:v>5</x:v>
      </x:c>
      <x:c r="I25" s="23" t="s">
        <x:v>1281</x:v>
      </x:c>
      <x:c r="J25" s="23"/>
    </x:row>
    <x:row r="26" ht="72" customHeight="1">
      <x:c r="A26" s="23" t="s">
        <x:v>1289</x:v>
      </x:c>
      <x:c r="B26" s="23" t="s">
        <x:v>999</x:v>
      </x:c>
      <x:c r="C26" s="23" t="s">
        <x:v>1290</x:v>
      </x:c>
      <x:c r="D26" s="23" t="s">
        <x:v>1206</x:v>
      </x:c>
      <x:c r="E26" s="23" t="s">
        <x:v>1234</x:v>
      </x:c>
      <x:c r="F26" s="23" t="s">
        <x:v>1276</x:v>
      </x:c>
      <x:c r="G26" s="23">
        <x:v>4</x:v>
      </x:c>
      <x:c r="H26" s="23">
        <x:v>5</x:v>
      </x:c>
      <x:c r="I26" s="23" t="s">
        <x:v>1236</x:v>
      </x:c>
      <x:c r="J26" s="23" t="s">
        <x:v>1291</x:v>
      </x:c>
    </x:row>
    <x:row r="27" ht="72" customHeight="1">
      <x:c r="A27" s="23" t="s">
        <x:v>1292</x:v>
      </x:c>
      <x:c r="B27" s="23" t="s">
        <x:v>1002</x:v>
      </x:c>
      <x:c r="C27" s="23" t="s">
        <x:v>1293</x:v>
      </x:c>
      <x:c r="D27" s="23" t="s">
        <x:v>1221</x:v>
      </x:c>
      <x:c r="E27" s="23" t="s">
        <x:v>1294</x:v>
      </x:c>
      <x:c r="F27" s="23" t="s">
        <x:v>1295</x:v>
      </x:c>
      <x:c r="G27" s="23" t="s">
        <x:v>1296</x:v>
      </x:c>
      <x:c r="H27" s="23" t="s">
        <x:v>1296</x:v>
      </x:c>
      <x:c r="I27" s="23" t="s">
        <x:v>1297</x:v>
      </x:c>
      <x:c r="J27" s="23" t="s">
        <x:v>1298</x:v>
      </x:c>
    </x:row>
    <x:row r="28" ht="72" customHeight="1">
      <x:c r="A28" s="23" t="s">
        <x:v>1299</x:v>
      </x:c>
      <x:c r="B28" s="23" t="s">
        <x:v>1002</x:v>
      </x:c>
      <x:c r="C28" s="23" t="s">
        <x:v>1300</x:v>
      </x:c>
      <x:c r="D28" s="23" t="s">
        <x:v>1206</x:v>
      </x:c>
      <x:c r="E28" s="23" t="s">
        <x:v>1234</x:v>
      </x:c>
      <x:c r="F28" s="23" t="s">
        <x:v>1301</x:v>
      </x:c>
      <x:c r="G28" s="23">
        <x:v>2</x:v>
      </x:c>
      <x:c r="H28" s="23">
        <x:v>2</x:v>
      </x:c>
      <x:c r="I28" s="23" t="s">
        <x:v>1302</x:v>
      </x:c>
      <x:c r="J28" s="23" t="s">
        <x:v>1303</x:v>
      </x:c>
    </x:row>
    <x:row r="29" ht="72" customHeight="1">
      <x:c r="A29" s="23" t="s">
        <x:v>1304</x:v>
      </x:c>
      <x:c r="B29" s="23" t="s">
        <x:v>1005</x:v>
      </x:c>
      <x:c r="C29" s="23" t="s">
        <x:v>1305</x:v>
      </x:c>
      <x:c r="D29" s="23" t="s">
        <x:v>1221</x:v>
      </x:c>
      <x:c r="E29" s="23" t="s">
        <x:v>1306</x:v>
      </x:c>
      <x:c r="F29" s="23" t="s">
        <x:v>1223</x:v>
      </x:c>
      <x:c r="G29" s="23"/>
      <x:c r="H29" s="23"/>
      <x:c r="I29" s="23" t="s">
        <x:v>1307</x:v>
      </x:c>
      <x:c r="J29" s="23" t="s">
        <x:v>1308</x:v>
      </x:c>
    </x:row>
    <x:row r="30" ht="72" customHeight="1">
      <x:c r="A30" s="23" t="s">
        <x:v>1309</x:v>
      </x:c>
      <x:c r="B30" s="23" t="s">
        <x:v>1012</x:v>
      </x:c>
      <x:c r="C30" s="23" t="s">
        <x:v>1218</x:v>
      </x:c>
      <x:c r="D30" s="23" t="s">
        <x:v>1206</x:v>
      </x:c>
      <x:c r="E30" s="23" t="s">
        <x:v>1213</x:v>
      </x:c>
      <x:c r="F30" s="23" t="s">
        <x:v>1214</x:v>
      </x:c>
      <x:c r="G30" s="23">
        <x:v>2</x:v>
      </x:c>
      <x:c r="H30" s="23"/>
      <x:c r="I30" s="23" t="s">
        <x:v>1215</x:v>
      </x:c>
      <x:c r="J30" s="23" t="s">
        <x:v>1310</x:v>
      </x:c>
    </x:row>
    <x:row r="31" ht="72" customHeight="1">
      <x:c r="A31" s="23" t="s">
        <x:v>1311</x:v>
      </x:c>
      <x:c r="B31" s="23" t="s">
        <x:v>1016</x:v>
      </x:c>
      <x:c r="C31" s="23" t="s">
        <x:v>1312</x:v>
      </x:c>
      <x:c r="D31" s="23" t="s">
        <x:v>1090</x:v>
      </x:c>
      <x:c r="E31" s="23" t="s">
        <x:v>1234</x:v>
      </x:c>
      <x:c r="F31" s="23" t="s">
        <x:v>1313</x:v>
      </x:c>
      <x:c r="G31" s="23"/>
      <x:c r="H31" s="23"/>
      <x:c r="I31" s="23" t="s">
        <x:v>1314</x:v>
      </x:c>
      <x:c r="J31" s="23" t="s">
        <x:v>1315</x:v>
      </x:c>
    </x:row>
  </x:sheetData>
  <x:mergeCells>
    <x:mergeCell ref="A1:J1"/>
    <x:mergeCell ref="A2:J2"/>
  </x:mergeCells>
  <x:pageMargins left="0.7" right="0.7" top="0.75" bottom="0.75" header="0.3" footer="0.3"/>
  <x:tableParts count="1">
    <x:tablePart xmlns:r="http://schemas.openxmlformats.org/officeDocument/2006/relationships" r:id="Rb8c8ab2c3e8a452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2" customWidth="1"/>
    <x:col min="2" max="2" width="50" customWidth="1"/>
    <x:col min="3" max="3" width="34" customWidth="1"/>
    <x:col min="4" max="5" width="25" customWidth="1"/>
    <x:col min="6" max="6" width="47" customWidth="1"/>
    <x:col min="7" max="7" width="52" customWidth="1"/>
  </x:cols>
  <x:sheetData>
    <x:row r="1" ht="18.75">
      <x:c r="A1" s="65" t="s">
        <x:v>1316</x:v>
      </x:c>
      <x:c r="B1" s="65"/>
      <x:c r="C1" s="65"/>
      <x:c r="D1" s="65"/>
      <x:c r="E1" s="65"/>
      <x:c r="F1" s="65"/>
      <x:c r="G1" s="65"/>
    </x:row>
    <x:row r="2">
      <x:c r="A2" s="64" t="s">
        <x:v>1317</x:v>
      </x:c>
      <x:c r="B2" s="64"/>
      <x:c r="C2" s="64"/>
      <x:c r="D2" s="64"/>
      <x:c r="E2" s="64"/>
      <x:c r="F2" s="64"/>
      <x:c r="G2" s="64"/>
    </x:row>
    <x:row r="4" ht="56.099998474121094" customHeight="1">
      <x:c r="A4" s="23" t="s">
        <x:v>857</x:v>
      </x:c>
      <x:c r="B4" s="23" t="s">
        <x:v>1318</x:v>
      </x:c>
      <x:c r="C4" s="23" t="s">
        <x:v>1319</x:v>
      </x:c>
      <x:c r="D4" s="23" t="s">
        <x:v>918</x:v>
      </x:c>
      <x:c r="E4" s="23" t="s">
        <x:v>921</x:v>
      </x:c>
      <x:c r="F4" s="23" t="s">
        <x:v>1320</x:v>
      </x:c>
      <x:c r="G4" s="23" t="s">
        <x:v>1321</x:v>
      </x:c>
    </x:row>
    <x:row r="5" ht="56.099998474121094" customHeight="1">
      <x:c r="A5" s="23" t="s">
        <x:v>1322</x:v>
      </x:c>
      <x:c r="B5" s="23" t="s">
        <x:v>86</x:v>
      </x:c>
      <x:c r="C5" s="23" t="s">
        <x:v>324</x:v>
      </x:c>
      <x:c r="D5" s="23" t="s">
        <x:v>926</x:v>
      </x:c>
      <x:c r="E5" s="23" t="s">
        <x:v>324</x:v>
      </x:c>
      <x:c r="F5" s="23"/>
      <x:c r="G5" s="23" t="s">
        <x:v>1323</x:v>
      </x:c>
    </x:row>
    <x:row r="6" ht="56.099998474121094" customHeight="1">
      <x:c r="A6" s="23" t="s">
        <x:v>1322</x:v>
      </x:c>
      <x:c r="B6" s="23" t="s">
        <x:v>19</x:v>
      </x:c>
      <x:c r="C6" s="23" t="s">
        <x:v>331</x:v>
      </x:c>
      <x:c r="D6" s="23" t="s">
        <x:v>926</x:v>
      </x:c>
      <x:c r="E6" s="23" t="s">
        <x:v>331</x:v>
      </x:c>
      <x:c r="F6" s="23"/>
      <x:c r="G6" s="23" t="s">
        <x:v>1323</x:v>
      </x:c>
    </x:row>
    <x:row r="7" ht="56.099998474121094" customHeight="1">
      <x:c r="A7" s="23" t="s">
        <x:v>1322</x:v>
      </x:c>
      <x:c r="B7" s="23" t="s">
        <x:v>1324</x:v>
      </x:c>
      <x:c r="C7" s="23" t="s">
        <x:v>332</x:v>
      </x:c>
      <x:c r="D7" s="23" t="s">
        <x:v>926</x:v>
      </x:c>
      <x:c r="E7" s="23" t="s">
        <x:v>963</x:v>
      </x:c>
      <x:c r="F7" s="23"/>
      <x:c r="G7" s="23" t="s">
        <x:v>1323</x:v>
      </x:c>
    </x:row>
    <x:row r="8" ht="56.099998474121094" customHeight="1">
      <x:c r="A8" s="23" t="s">
        <x:v>1322</x:v>
      </x:c>
      <x:c r="B8" s="23" t="s">
        <x:v>40</x:v>
      </x:c>
      <x:c r="C8" s="23" t="s">
        <x:v>333</x:v>
      </x:c>
      <x:c r="D8" s="23" t="s">
        <x:v>926</x:v>
      </x:c>
      <x:c r="E8" s="23" t="s">
        <x:v>333</x:v>
      </x:c>
      <x:c r="F8" s="23"/>
      <x:c r="G8" s="23" t="s">
        <x:v>1323</x:v>
      </x:c>
    </x:row>
    <x:row r="9" ht="56.099998474121094" customHeight="1">
      <x:c r="A9" s="23" t="s">
        <x:v>1322</x:v>
      </x:c>
      <x:c r="B9" s="23" t="s">
        <x:v>1325</x:v>
      </x:c>
      <x:c r="C9" s="23" t="s">
        <x:v>1003</x:v>
      </x:c>
      <x:c r="D9" s="23" t="s">
        <x:v>926</x:v>
      </x:c>
      <x:c r="E9" s="23" t="s">
        <x:v>963</x:v>
      </x:c>
      <x:c r="F9" s="23"/>
      <x:c r="G9" s="23" t="s">
        <x:v>1323</x:v>
      </x:c>
    </x:row>
    <x:row r="10" ht="56.099998474121094" customHeight="1">
      <x:c r="A10" s="23" t="s">
        <x:v>1322</x:v>
      </x:c>
      <x:c r="B10" s="23" t="s">
        <x:v>51</x:v>
      </x:c>
      <x:c r="C10" s="23" t="s">
        <x:v>334</x:v>
      </x:c>
      <x:c r="D10" s="23" t="s">
        <x:v>926</x:v>
      </x:c>
      <x:c r="E10" s="23" t="s">
        <x:v>334</x:v>
      </x:c>
      <x:c r="F10" s="23"/>
      <x:c r="G10" s="23" t="s">
        <x:v>1323</x:v>
      </x:c>
    </x:row>
    <x:row r="11" ht="56.099998474121094" customHeight="1">
      <x:c r="A11" s="23" t="s">
        <x:v>1322</x:v>
      </x:c>
      <x:c r="B11" s="23" t="s">
        <x:v>1326</x:v>
      </x:c>
      <x:c r="C11" s="23" t="s">
        <x:v>1327</x:v>
      </x:c>
      <x:c r="D11" s="23" t="s">
        <x:v>926</x:v>
      </x:c>
      <x:c r="E11" s="23" t="s">
        <x:v>334</x:v>
      </x:c>
      <x:c r="F11" s="23"/>
      <x:c r="G11" s="23"/>
    </x:row>
    <x:row r="12" ht="56.099998474121094" customHeight="1">
      <x:c r="A12" s="23" t="s">
        <x:v>1322</x:v>
      </x:c>
      <x:c r="B12" s="23" t="s">
        <x:v>1328</x:v>
      </x:c>
      <x:c r="C12" s="23" t="s">
        <x:v>1006</x:v>
      </x:c>
      <x:c r="D12" s="23" t="s">
        <x:v>1009</x:v>
      </x:c>
      <x:c r="E12" s="23" t="s">
        <x:v>331</x:v>
      </x:c>
      <x:c r="F12" s="23" t="s">
        <x:v>1329</x:v>
      </x:c>
      <x:c r="G12" s="23"/>
    </x:row>
    <x:row r="13" ht="56.099998474121094" customHeight="1">
      <x:c r="A13" s="23" t="s">
        <x:v>1330</x:v>
      </x:c>
      <x:c r="B13" s="23" t="s">
        <x:v>86</x:v>
      </x:c>
      <x:c r="C13" s="23" t="s">
        <x:v>324</x:v>
      </x:c>
      <x:c r="D13" s="23" t="s">
        <x:v>926</x:v>
      </x:c>
      <x:c r="E13" s="23" t="s">
        <x:v>324</x:v>
      </x:c>
      <x:c r="F13" s="23"/>
      <x:c r="G13" s="23" t="s">
        <x:v>1323</x:v>
      </x:c>
    </x:row>
    <x:row r="14" ht="56.099998474121094" customHeight="1">
      <x:c r="A14" s="23" t="s">
        <x:v>1330</x:v>
      </x:c>
      <x:c r="B14" s="23" t="s">
        <x:v>19</x:v>
      </x:c>
      <x:c r="C14" s="23" t="s">
        <x:v>331</x:v>
      </x:c>
      <x:c r="D14" s="23" t="s">
        <x:v>926</x:v>
      </x:c>
      <x:c r="E14" s="23" t="s">
        <x:v>331</x:v>
      </x:c>
      <x:c r="F14" s="23"/>
      <x:c r="G14" s="23" t="s">
        <x:v>1323</x:v>
      </x:c>
    </x:row>
    <x:row r="15" ht="56.099998474121094" customHeight="1">
      <x:c r="A15" s="23" t="s">
        <x:v>1330</x:v>
      </x:c>
      <x:c r="B15" s="23" t="s">
        <x:v>1324</x:v>
      </x:c>
      <x:c r="C15" s="23" t="s">
        <x:v>332</x:v>
      </x:c>
      <x:c r="D15" s="23" t="s">
        <x:v>926</x:v>
      </x:c>
      <x:c r="E15" s="23" t="s">
        <x:v>963</x:v>
      </x:c>
      <x:c r="F15" s="23"/>
      <x:c r="G15" s="23" t="s">
        <x:v>1323</x:v>
      </x:c>
    </x:row>
    <x:row r="16" ht="56.099998474121094" customHeight="1">
      <x:c r="A16" s="23" t="s">
        <x:v>1330</x:v>
      </x:c>
      <x:c r="B16" s="23" t="s">
        <x:v>40</x:v>
      </x:c>
      <x:c r="C16" s="23" t="s">
        <x:v>333</x:v>
      </x:c>
      <x:c r="D16" s="23" t="s">
        <x:v>926</x:v>
      </x:c>
      <x:c r="E16" s="23" t="s">
        <x:v>333</x:v>
      </x:c>
      <x:c r="F16" s="23"/>
      <x:c r="G16" s="23" t="s">
        <x:v>1323</x:v>
      </x:c>
    </x:row>
    <x:row r="17" ht="56.099998474121094" customHeight="1">
      <x:c r="A17" s="23" t="s">
        <x:v>1330</x:v>
      </x:c>
      <x:c r="B17" s="23" t="s">
        <x:v>1325</x:v>
      </x:c>
      <x:c r="C17" s="23" t="s">
        <x:v>1003</x:v>
      </x:c>
      <x:c r="D17" s="23" t="s">
        <x:v>926</x:v>
      </x:c>
      <x:c r="E17" s="23" t="s">
        <x:v>963</x:v>
      </x:c>
      <x:c r="F17" s="23"/>
      <x:c r="G17" s="23" t="s">
        <x:v>1323</x:v>
      </x:c>
    </x:row>
    <x:row r="18" ht="56.099998474121094" customHeight="1">
      <x:c r="A18" s="23" t="s">
        <x:v>1330</x:v>
      </x:c>
      <x:c r="B18" s="23" t="s">
        <x:v>51</x:v>
      </x:c>
      <x:c r="C18" s="23" t="s">
        <x:v>334</x:v>
      </x:c>
      <x:c r="D18" s="23" t="s">
        <x:v>926</x:v>
      </x:c>
      <x:c r="E18" s="23" t="s">
        <x:v>334</x:v>
      </x:c>
      <x:c r="F18" s="23"/>
      <x:c r="G18" s="23" t="s">
        <x:v>1323</x:v>
      </x:c>
    </x:row>
    <x:row r="19" ht="56.099998474121094" customHeight="1">
      <x:c r="A19" s="23" t="s">
        <x:v>1330</x:v>
      </x:c>
      <x:c r="B19" s="23" t="s">
        <x:v>1328</x:v>
      </x:c>
      <x:c r="C19" s="23" t="s">
        <x:v>1006</x:v>
      </x:c>
      <x:c r="D19" s="23" t="s">
        <x:v>1009</x:v>
      </x:c>
      <x:c r="E19" s="23" t="s">
        <x:v>331</x:v>
      </x:c>
      <x:c r="F19" s="23" t="s">
        <x:v>1329</x:v>
      </x:c>
      <x:c r="G19" s="23"/>
    </x:row>
    <x:row r="20" ht="56.099998474121094" customHeight="1">
      <x:c r="A20" s="23" t="s">
        <x:v>1330</x:v>
      </x:c>
      <x:c r="B20" s="23" t="s">
        <x:v>1331</x:v>
      </x:c>
      <x:c r="C20" s="23" t="s">
        <x:v>1331</x:v>
      </x:c>
      <x:c r="D20" s="23" t="s">
        <x:v>1009</x:v>
      </x:c>
      <x:c r="E20" s="23" t="s">
        <x:v>1332</x:v>
      </x:c>
      <x:c r="F20" s="23" t="s">
        <x:v>1333</x:v>
      </x:c>
      <x:c r="G20" s="23"/>
    </x:row>
    <x:row r="21" ht="56.099998474121094" customHeight="1">
      <x:c r="A21" s="23" t="s">
        <x:v>1330</x:v>
      </x:c>
      <x:c r="B21" s="23" t="s">
        <x:v>1334</x:v>
      </x:c>
      <x:c r="C21" s="23" t="s">
        <x:v>1331</x:v>
      </x:c>
      <x:c r="D21" s="23" t="s">
        <x:v>1009</x:v>
      </x:c>
      <x:c r="E21" s="23" t="s">
        <x:v>1332</x:v>
      </x:c>
      <x:c r="F21" s="23" t="s">
        <x:v>1335</x:v>
      </x:c>
      <x:c r="G21" s="23"/>
    </x:row>
    <x:row r="22" ht="56.099998474121094" customHeight="1">
      <x:c r="A22" s="23" t="s">
        <x:v>23</x:v>
      </x:c>
      <x:c r="B22" s="23" t="s">
        <x:v>1336</x:v>
      </x:c>
      <x:c r="C22" s="23" t="s">
        <x:v>324</x:v>
      </x:c>
      <x:c r="D22" s="23" t="s">
        <x:v>926</x:v>
      </x:c>
      <x:c r="E22" s="23" t="s">
        <x:v>324</x:v>
      </x:c>
      <x:c r="F22" s="23"/>
      <x:c r="G22" s="23"/>
    </x:row>
    <x:row r="23" ht="56.099998474121094" customHeight="1">
      <x:c r="A23" s="23" t="s">
        <x:v>23</x:v>
      </x:c>
      <x:c r="B23" s="23" t="s">
        <x:v>1337</x:v>
      </x:c>
      <x:c r="C23" s="23" t="s">
        <x:v>331</x:v>
      </x:c>
      <x:c r="D23" s="23" t="s">
        <x:v>926</x:v>
      </x:c>
      <x:c r="E23" s="23" t="s">
        <x:v>331</x:v>
      </x:c>
      <x:c r="F23" s="23"/>
      <x:c r="G23" s="23"/>
    </x:row>
    <x:row r="24" ht="56.099998474121094" customHeight="1">
      <x:c r="A24" s="23" t="s">
        <x:v>23</x:v>
      </x:c>
      <x:c r="B24" s="23" t="s">
        <x:v>1338</x:v>
      </x:c>
      <x:c r="C24" s="23" t="s">
        <x:v>332</x:v>
      </x:c>
      <x:c r="D24" s="23" t="s">
        <x:v>926</x:v>
      </x:c>
      <x:c r="E24" s="23" t="s">
        <x:v>963</x:v>
      </x:c>
      <x:c r="F24" s="23"/>
      <x:c r="G24" s="23"/>
    </x:row>
    <x:row r="25" ht="56.099998474121094" customHeight="1">
      <x:c r="A25" s="23" t="s">
        <x:v>23</x:v>
      </x:c>
      <x:c r="B25" s="23" t="s">
        <x:v>1339</x:v>
      </x:c>
      <x:c r="C25" s="23" t="s">
        <x:v>1003</x:v>
      </x:c>
      <x:c r="D25" s="23" t="s">
        <x:v>926</x:v>
      </x:c>
      <x:c r="E25" s="23" t="s">
        <x:v>963</x:v>
      </x:c>
      <x:c r="F25" s="23"/>
      <x:c r="G25" s="23"/>
    </x:row>
    <x:row r="26" ht="56.099998474121094" customHeight="1">
      <x:c r="A26" s="23" t="s">
        <x:v>23</x:v>
      </x:c>
      <x:c r="B26" s="23" t="s">
        <x:v>1340</x:v>
      </x:c>
      <x:c r="C26" s="23" t="s">
        <x:v>334</x:v>
      </x:c>
      <x:c r="D26" s="23" t="s">
        <x:v>926</x:v>
      </x:c>
      <x:c r="E26" s="23" t="s">
        <x:v>334</x:v>
      </x:c>
      <x:c r="F26" s="23"/>
      <x:c r="G26" s="23"/>
    </x:row>
    <x:row r="27" ht="56.099998474121094" customHeight="1">
      <x:c r="A27" s="23" t="s">
        <x:v>23</x:v>
      </x:c>
      <x:c r="B27" s="23" t="s">
        <x:v>1341</x:v>
      </x:c>
      <x:c r="C27" s="23" t="s">
        <x:v>1021</x:v>
      </x:c>
      <x:c r="D27" s="23" t="s">
        <x:v>1024</x:v>
      </x:c>
      <x:c r="E27" s="23" t="s">
        <x:v>334</x:v>
      </x:c>
      <x:c r="F27" s="23" t="s">
        <x:v>1342</x:v>
      </x:c>
      <x:c r="G27" s="23" t="s">
        <x:v>1343</x:v>
      </x:c>
    </x:row>
    <x:row r="28" ht="56.099998474121094" customHeight="1">
      <x:c r="A28" s="23" t="s">
        <x:v>23</x:v>
      </x:c>
      <x:c r="B28" s="23" t="s">
        <x:v>1344</x:v>
      </x:c>
      <x:c r="C28" s="23" t="s">
        <x:v>1029</x:v>
      </x:c>
      <x:c r="D28" s="23" t="s">
        <x:v>1024</x:v>
      </x:c>
      <x:c r="E28" s="23" t="s">
        <x:v>334</x:v>
      </x:c>
      <x:c r="F28" s="23" t="s">
        <x:v>1342</x:v>
      </x:c>
      <x:c r="G28" s="23" t="s">
        <x:v>1343</x:v>
      </x:c>
    </x:row>
    <x:row r="29" ht="56.099998474121094" customHeight="1">
      <x:c r="A29" s="23" t="s">
        <x:v>23</x:v>
      </x:c>
      <x:c r="B29" s="23" t="s">
        <x:v>1345</x:v>
      </x:c>
      <x:c r="C29" s="23" t="s">
        <x:v>1346</x:v>
      </x:c>
      <x:c r="D29" s="23" t="s">
        <x:v>1009</x:v>
      </x:c>
      <x:c r="E29" s="23" t="s">
        <x:v>1332</x:v>
      </x:c>
      <x:c r="F29" s="23" t="s">
        <x:v>1333</x:v>
      </x:c>
      <x:c r="G29" s="23"/>
    </x:row>
    <x:row r="30" ht="56.099998474121094" customHeight="1">
      <x:c r="A30" s="23" t="s">
        <x:v>23</x:v>
      </x:c>
      <x:c r="B30" s="23" t="s">
        <x:v>1347</x:v>
      </x:c>
      <x:c r="C30" s="23" t="s">
        <x:v>1348</x:v>
      </x:c>
      <x:c r="D30" s="23" t="s">
        <x:v>1009</x:v>
      </x:c>
      <x:c r="E30" s="23" t="s">
        <x:v>1332</x:v>
      </x:c>
      <x:c r="F30" s="23" t="s">
        <x:v>1349</x:v>
      </x:c>
      <x:c r="G30" s="23"/>
    </x:row>
    <x:row r="31" ht="56.099998474121094" customHeight="1">
      <x:c r="A31" s="23" t="s">
        <x:v>1350</x:v>
      </x:c>
      <x:c r="B31" s="23" t="s">
        <x:v>1351</x:v>
      </x:c>
      <x:c r="C31" s="23" t="s">
        <x:v>1352</x:v>
      </x:c>
      <x:c r="D31" s="23" t="s">
        <x:v>926</x:v>
      </x:c>
      <x:c r="E31" s="23" t="s">
        <x:v>1353</x:v>
      </x:c>
      <x:c r="F31" s="23"/>
      <x:c r="G31" s="23" t="s">
        <x:v>1354</x:v>
      </x:c>
    </x:row>
    <x:row r="32" ht="56.099998474121094" customHeight="1">
      <x:c r="A32" s="23" t="s">
        <x:v>1350</x:v>
      </x:c>
      <x:c r="B32" s="23" t="s">
        <x:v>1331</x:v>
      </x:c>
      <x:c r="C32" s="23" t="s">
        <x:v>1331</x:v>
      </x:c>
      <x:c r="D32" s="23" t="s">
        <x:v>1009</x:v>
      </x:c>
      <x:c r="E32" s="23" t="s">
        <x:v>1332</x:v>
      </x:c>
      <x:c r="F32" s="23" t="s">
        <x:v>1333</x:v>
      </x:c>
      <x:c r="G32" s="23"/>
    </x:row>
    <x:row r="33" ht="56.099998474121094" customHeight="1">
      <x:c r="A33" s="23" t="s">
        <x:v>1355</x:v>
      </x:c>
      <x:c r="B33" s="23" t="s">
        <x:v>1351</x:v>
      </x:c>
      <x:c r="C33" s="23" t="s">
        <x:v>1352</x:v>
      </x:c>
      <x:c r="D33" s="23" t="s">
        <x:v>926</x:v>
      </x:c>
      <x:c r="E33" s="23" t="s">
        <x:v>1353</x:v>
      </x:c>
      <x:c r="F33" s="23"/>
      <x:c r="G33" s="23" t="s">
        <x:v>1354</x:v>
      </x:c>
    </x:row>
    <x:row r="34" ht="56.099998474121094" customHeight="1">
      <x:c r="A34" s="23" t="s">
        <x:v>1355</x:v>
      </x:c>
      <x:c r="B34" s="23" t="s">
        <x:v>1331</x:v>
      </x:c>
      <x:c r="C34" s="23" t="s">
        <x:v>1331</x:v>
      </x:c>
      <x:c r="D34" s="23" t="s">
        <x:v>1009</x:v>
      </x:c>
      <x:c r="E34" s="23" t="s">
        <x:v>1332</x:v>
      </x:c>
      <x:c r="F34" s="23" t="s">
        <x:v>1333</x:v>
      </x:c>
      <x:c r="G34" s="23"/>
    </x:row>
    <x:row r="35" ht="56.099998474121094" customHeight="1">
      <x:c r="A35" s="23" t="s">
        <x:v>1356</x:v>
      </x:c>
      <x:c r="B35" s="23" t="s">
        <x:v>1357</x:v>
      </x:c>
      <x:c r="C35" s="23" t="s">
        <x:v>324</x:v>
      </x:c>
      <x:c r="D35" s="23" t="s">
        <x:v>926</x:v>
      </x:c>
      <x:c r="E35" s="23" t="s">
        <x:v>324</x:v>
      </x:c>
      <x:c r="F35" s="23"/>
      <x:c r="G35" s="23"/>
    </x:row>
    <x:row r="36" ht="56.099998474121094" customHeight="1">
      <x:c r="A36" s="23" t="s">
        <x:v>1356</x:v>
      </x:c>
      <x:c r="B36" s="23" t="s">
        <x:v>1358</x:v>
      </x:c>
      <x:c r="C36" s="23" t="s">
        <x:v>331</x:v>
      </x:c>
      <x:c r="D36" s="23" t="s">
        <x:v>926</x:v>
      </x:c>
      <x:c r="E36" s="23" t="s">
        <x:v>331</x:v>
      </x:c>
      <x:c r="F36" s="23"/>
      <x:c r="G36" s="23"/>
    </x:row>
    <x:row r="37" ht="56.099998474121094" customHeight="1">
      <x:c r="A37" s="23" t="s">
        <x:v>1356</x:v>
      </x:c>
      <x:c r="B37" s="23" t="s">
        <x:v>1359</x:v>
      </x:c>
      <x:c r="C37" s="23" t="s">
        <x:v>332</x:v>
      </x:c>
      <x:c r="D37" s="23" t="s">
        <x:v>926</x:v>
      </x:c>
      <x:c r="E37" s="23" t="s">
        <x:v>963</x:v>
      </x:c>
      <x:c r="F37" s="23"/>
      <x:c r="G37" s="23"/>
    </x:row>
    <x:row r="38" ht="56.099998474121094" customHeight="1">
      <x:c r="A38" s="23" t="s">
        <x:v>1356</x:v>
      </x:c>
      <x:c r="B38" s="23" t="s">
        <x:v>1360</x:v>
      </x:c>
      <x:c r="C38" s="23" t="s">
        <x:v>334</x:v>
      </x:c>
      <x:c r="D38" s="23" t="s">
        <x:v>926</x:v>
      </x:c>
      <x:c r="E38" s="23" t="s">
        <x:v>334</x:v>
      </x:c>
      <x:c r="F38" s="23"/>
      <x:c r="G38" s="23"/>
    </x:row>
    <x:row r="39" ht="56.099998474121094" customHeight="1">
      <x:c r="A39" s="23" t="s">
        <x:v>1356</x:v>
      </x:c>
      <x:c r="B39" s="23" t="s">
        <x:v>1361</x:v>
      </x:c>
      <x:c r="C39" s="23" t="s">
        <x:v>1006</x:v>
      </x:c>
      <x:c r="D39" s="23" t="s">
        <x:v>1009</x:v>
      </x:c>
      <x:c r="E39" s="23" t="s">
        <x:v>331</x:v>
      </x:c>
      <x:c r="F39" s="23" t="s">
        <x:v>1329</x:v>
      </x:c>
      <x:c r="G39" s="23" t="s">
        <x:v>1362</x:v>
      </x:c>
    </x:row>
    <x:row r="40" ht="56.099998474121094" customHeight="1">
      <x:c r="A40" s="23" t="s">
        <x:v>1356</x:v>
      </x:c>
      <x:c r="B40" s="23" t="s">
        <x:v>1363</x:v>
      </x:c>
      <x:c r="C40" s="23" t="s">
        <x:v>1346</x:v>
      </x:c>
      <x:c r="D40" s="23" t="s">
        <x:v>1009</x:v>
      </x:c>
      <x:c r="E40" s="23" t="s">
        <x:v>1332</x:v>
      </x:c>
      <x:c r="F40" s="23" t="s">
        <x:v>1333</x:v>
      </x:c>
      <x:c r="G40" s="23"/>
    </x:row>
    <x:row r="41" ht="56.099998474121094" customHeight="1">
      <x:c r="A41" s="23" t="s">
        <x:v>1356</x:v>
      </x:c>
      <x:c r="B41" s="23" t="s">
        <x:v>1364</x:v>
      </x:c>
      <x:c r="C41" s="23" t="s">
        <x:v>1365</x:v>
      </x:c>
      <x:c r="D41" s="23" t="s">
        <x:v>1009</x:v>
      </x:c>
      <x:c r="E41" s="23" t="s">
        <x:v>1332</x:v>
      </x:c>
      <x:c r="F41" s="23" t="s">
        <x:v>1366</x:v>
      </x:c>
      <x:c r="G41" s="23"/>
    </x:row>
    <x:row r="42" ht="56.099998474121094" customHeight="1">
      <x:c r="A42" s="23" t="s">
        <x:v>1356</x:v>
      </x:c>
      <x:c r="B42" s="23" t="s">
        <x:v>1367</x:v>
      </x:c>
      <x:c r="C42" s="23" t="s">
        <x:v>1331</x:v>
      </x:c>
      <x:c r="D42" s="23" t="s">
        <x:v>1009</x:v>
      </x:c>
      <x:c r="E42" s="23" t="s">
        <x:v>1332</x:v>
      </x:c>
      <x:c r="F42" s="23" t="s">
        <x:v>1333</x:v>
      </x:c>
      <x:c r="G42" s="23"/>
    </x:row>
    <x:row r="43" ht="56.099998474121094" customHeight="1">
      <x:c r="A43" s="23" t="s">
        <x:v>701</x:v>
      </x:c>
      <x:c r="B43" s="23" t="s">
        <x:v>86</x:v>
      </x:c>
      <x:c r="C43" s="23" t="s">
        <x:v>324</x:v>
      </x:c>
      <x:c r="D43" s="23" t="s">
        <x:v>926</x:v>
      </x:c>
      <x:c r="E43" s="23" t="s">
        <x:v>324</x:v>
      </x:c>
      <x:c r="F43" s="23"/>
      <x:c r="G43" s="23" t="s">
        <x:v>1323</x:v>
      </x:c>
    </x:row>
    <x:row r="44" ht="56.099998474121094" customHeight="1">
      <x:c r="A44" s="23" t="s">
        <x:v>701</x:v>
      </x:c>
      <x:c r="B44" s="23" t="s">
        <x:v>19</x:v>
      </x:c>
      <x:c r="C44" s="23" t="s">
        <x:v>331</x:v>
      </x:c>
      <x:c r="D44" s="23" t="s">
        <x:v>926</x:v>
      </x:c>
      <x:c r="E44" s="23" t="s">
        <x:v>331</x:v>
      </x:c>
      <x:c r="F44" s="23"/>
      <x:c r="G44" s="23" t="s">
        <x:v>1323</x:v>
      </x:c>
    </x:row>
    <x:row r="45" ht="56.099998474121094" customHeight="1">
      <x:c r="A45" s="23" t="s">
        <x:v>701</x:v>
      </x:c>
      <x:c r="B45" s="23" t="s">
        <x:v>1324</x:v>
      </x:c>
      <x:c r="C45" s="23" t="s">
        <x:v>332</x:v>
      </x:c>
      <x:c r="D45" s="23" t="s">
        <x:v>926</x:v>
      </x:c>
      <x:c r="E45" s="23" t="s">
        <x:v>963</x:v>
      </x:c>
      <x:c r="F45" s="23"/>
      <x:c r="G45" s="23" t="s">
        <x:v>1323</x:v>
      </x:c>
    </x:row>
    <x:row r="46" ht="56.099998474121094" customHeight="1">
      <x:c r="A46" s="23" t="s">
        <x:v>701</x:v>
      </x:c>
      <x:c r="B46" s="23" t="s">
        <x:v>40</x:v>
      </x:c>
      <x:c r="C46" s="23" t="s">
        <x:v>333</x:v>
      </x:c>
      <x:c r="D46" s="23" t="s">
        <x:v>926</x:v>
      </x:c>
      <x:c r="E46" s="23" t="s">
        <x:v>333</x:v>
      </x:c>
      <x:c r="F46" s="23"/>
      <x:c r="G46" s="23" t="s">
        <x:v>1323</x:v>
      </x:c>
    </x:row>
    <x:row r="47" ht="56.099998474121094" customHeight="1">
      <x:c r="A47" s="23" t="s">
        <x:v>701</x:v>
      </x:c>
      <x:c r="B47" s="23" t="s">
        <x:v>51</x:v>
      </x:c>
      <x:c r="C47" s="23" t="s">
        <x:v>334</x:v>
      </x:c>
      <x:c r="D47" s="23" t="s">
        <x:v>926</x:v>
      </x:c>
      <x:c r="E47" s="23" t="s">
        <x:v>334</x:v>
      </x:c>
      <x:c r="F47" s="23"/>
      <x:c r="G47" s="23" t="s">
        <x:v>1323</x:v>
      </x:c>
    </x:row>
    <x:row r="48" ht="56.099998474121094" customHeight="1">
      <x:c r="A48" s="23" t="s">
        <x:v>701</x:v>
      </x:c>
      <x:c r="B48" s="23" t="s">
        <x:v>1368</x:v>
      </x:c>
      <x:c r="C48" s="23" t="s">
        <x:v>1003</x:v>
      </x:c>
      <x:c r="D48" s="23" t="s">
        <x:v>926</x:v>
      </x:c>
      <x:c r="E48" s="23" t="s">
        <x:v>963</x:v>
      </x:c>
      <x:c r="F48" s="23"/>
      <x:c r="G48" s="23"/>
    </x:row>
    <x:row r="49" ht="56.099998474121094" customHeight="1">
      <x:c r="A49" s="23" t="s">
        <x:v>701</x:v>
      </x:c>
      <x:c r="B49" s="23" t="s">
        <x:v>1014</x:v>
      </x:c>
      <x:c r="C49" s="23" t="s">
        <x:v>1013</x:v>
      </x:c>
      <x:c r="D49" s="23" t="s">
        <x:v>926</x:v>
      </x:c>
      <x:c r="E49" s="23" t="s">
        <x:v>331</x:v>
      </x:c>
      <x:c r="F49" s="23" t="s">
        <x:v>1369</x:v>
      </x:c>
      <x:c r="G49" s="23"/>
    </x:row>
    <x:row r="50" ht="56.099998474121094" customHeight="1">
      <x:c r="A50" s="23" t="s">
        <x:v>701</x:v>
      </x:c>
      <x:c r="B50" s="23" t="s">
        <x:v>1017</x:v>
      </x:c>
      <x:c r="C50" s="23" t="s">
        <x:v>1370</x:v>
      </x:c>
      <x:c r="D50" s="23" t="s">
        <x:v>1009</x:v>
      </x:c>
      <x:c r="E50" s="23" t="s">
        <x:v>963</x:v>
      </x:c>
      <x:c r="F50" s="23" t="s">
        <x:v>1371</x:v>
      </x:c>
      <x:c r="G50" s="23" t="s">
        <x:v>1372</x:v>
      </x:c>
    </x:row>
  </x:sheetData>
  <x:mergeCells>
    <x:mergeCell ref="A1:G1"/>
    <x:mergeCell ref="A2:G2"/>
  </x:mergeCells>
  <x:pageMargins left="0.7" right="0.7" top="0.75" bottom="0.75" header="0.3" footer="0.3"/>
  <x:tableParts count="1">
    <x:tablePart xmlns:r="http://schemas.openxmlformats.org/officeDocument/2006/relationships" r:id="R7f200f8cbff54234"/>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0" customWidth="1"/>
    <x:col min="2" max="2" width="24" customWidth="1"/>
    <x:col min="3" max="3" width="32" customWidth="1"/>
    <x:col min="4" max="5" width="21" customWidth="1"/>
    <x:col min="6" max="10" width="12" customWidth="1"/>
    <x:col min="11" max="11" width="15" customWidth="1"/>
    <x:col min="12" max="16" width="12" customWidth="1"/>
    <x:col min="17" max="17" width="30" customWidth="1"/>
    <x:col min="18" max="18" width="15" customWidth="1"/>
    <x:col min="19" max="19" width="20" customWidth="1"/>
    <x:col min="20" max="21" width="16" customWidth="1"/>
  </x:cols>
  <x:sheetData>
    <x:row r="1" ht="32.099998474121094" customHeight="1">
      <x:c r="A1" s="25" t="s">
        <x:v>1373</x:v>
      </x:c>
      <x:c r="B1" s="25" t="s">
        <x:v>1374</x:v>
      </x:c>
      <x:c r="C1" s="25" t="s">
        <x:v>1375</x:v>
      </x:c>
      <x:c r="D1" s="25" t="s">
        <x:v>1376</x:v>
      </x:c>
      <x:c r="E1" s="25" t="s">
        <x:v>1377</x:v>
      </x:c>
      <x:c r="F1" s="25" t="s">
        <x:v>465</x:v>
      </x:c>
      <x:c r="G1" s="25" t="s">
        <x:v>1378</x:v>
      </x:c>
      <x:c r="H1" s="25" t="s">
        <x:v>1379</x:v>
      </x:c>
      <x:c r="I1" s="25" t="s">
        <x:v>1380</x:v>
      </x:c>
      <x:c r="J1" s="25" t="s">
        <x:v>1381</x:v>
      </x:c>
      <x:c r="K1" s="25" t="s">
        <x:v>1382</x:v>
      </x:c>
      <x:c r="L1" s="25" t="s">
        <x:v>1383</x:v>
      </x:c>
      <x:c r="M1" s="25" t="s">
        <x:v>1384</x:v>
      </x:c>
      <x:c r="N1" s="25" t="s">
        <x:v>1385</x:v>
      </x:c>
      <x:c r="O1" s="25" t="s">
        <x:v>1386</x:v>
      </x:c>
      <x:c r="P1" s="25" t="s">
        <x:v>1387</x:v>
      </x:c>
      <x:c r="Q1" s="25" t="s">
        <x:v>1388</x:v>
      </x:c>
      <x:c r="R1" s="25" t="s">
        <x:v>1389</x:v>
      </x:c>
      <x:c r="S1" s="25" t="s">
        <x:v>1390</x:v>
      </x:c>
      <x:c r="T1" s="25" t="s">
        <x:v>1391</x:v>
      </x:c>
      <x:c r="U1" s="25" t="s">
        <x:v>1392</x:v>
      </x:c>
    </x:row>
    <x:row r="2" ht="18" customHeight="1">
      <x:c r="A2" s="26">
        <x:v>74</x:v>
      </x:c>
      <x:c r="B2" s="24" t="s">
        <x:v>394</x:v>
      </x:c>
      <x:c r="C2" s="24" t="s">
        <x:v>1393</x:v>
      </x:c>
      <x:c r="D2" s="24" t="s">
        <x:v>1394</x:v>
      </x:c>
      <x:c r="E2" s="24" t="s">
        <x:v>1395</x:v>
      </x:c>
      <x:c r="F2" s="24" t="s">
        <x:v>318</x:v>
      </x:c>
      <x:c r="G2" s="26">
        <x:v>70</x:v>
      </x:c>
      <x:c r="H2" s="26">
        <x:v>1477</x:v>
      </x:c>
      <x:c r="I2" s="26">
        <x:v>39</x:v>
      </x:c>
      <x:c r="J2" s="24" t="s">
        <x:v>975</x:v>
      </x:c>
      <x:c r="K2" s="24" t="s">
        <x:v>1396</x:v>
      </x:c>
      <x:c r="L2" s="26">
        <x:v>7</x:v>
      </x:c>
      <x:c r="M2" s="26">
        <x:v>2</x:v>
      </x:c>
      <x:c r="N2" s="26">
        <x:v>3</x:v>
      </x:c>
      <x:c r="O2" s="26">
        <x:v>3</x:v>
      </x:c>
      <x:c r="P2" s="26">
        <x:v>0</x:v>
      </x:c>
      <x:c r="Q2" s="27" t="s">
        <x:v>1397</x:v>
      </x:c>
      <x:c r="R2" s="26">
        <x:v>2474</x:v>
      </x:c>
      <x:c r="S2" s="27"/>
      <x:c r="T2" s="24" t="s">
        <x:v>1398</x:v>
      </x:c>
      <x:c r="U2" s="24" t="s">
        <x:v>1399</x:v>
      </x:c>
    </x:row>
    <x:row r="3" ht="18" customHeight="1">
      <x:c r="A3" s="26">
        <x:v>75</x:v>
      </x:c>
      <x:c r="B3" s="24" t="s">
        <x:v>242</x:v>
      </x:c>
      <x:c r="C3" s="24" t="s">
        <x:v>1400</x:v>
      </x:c>
      <x:c r="D3" s="24" t="s">
        <x:v>1394</x:v>
      </x:c>
      <x:c r="E3" s="24" t="s">
        <x:v>1401</x:v>
      </x:c>
      <x:c r="F3" s="24" t="s">
        <x:v>318</x:v>
      </x:c>
      <x:c r="G3" s="26">
        <x:v>70</x:v>
      </x:c>
      <x:c r="H3" s="26">
        <x:v>1705</x:v>
      </x:c>
      <x:c r="I3" s="26">
        <x:v>45</x:v>
      </x:c>
      <x:c r="J3" s="24" t="s">
        <x:v>975</x:v>
      </x:c>
      <x:c r="K3" s="24" t="s">
        <x:v>1396</x:v>
      </x:c>
      <x:c r="L3" s="26">
        <x:v>7</x:v>
      </x:c>
      <x:c r="M3" s="26">
        <x:v>3</x:v>
      </x:c>
      <x:c r="N3" s="26">
        <x:v>5</x:v>
      </x:c>
      <x:c r="O3" s="26">
        <x:v>4</x:v>
      </x:c>
      <x:c r="P3" s="26">
        <x:v>0</x:v>
      </x:c>
      <x:c r="Q3" s="27" t="s">
        <x:v>1402</x:v>
      </x:c>
      <x:c r="R3" s="26">
        <x:v>2752</x:v>
      </x:c>
      <x:c r="S3" s="27"/>
      <x:c r="T3" s="24" t="s">
        <x:v>1398</x:v>
      </x:c>
      <x:c r="U3" s="24" t="s">
        <x:v>1399</x:v>
      </x:c>
    </x:row>
    <x:row r="4" ht="18" customHeight="1">
      <x:c r="A4" s="26">
        <x:v>7598</x:v>
      </x:c>
      <x:c r="B4" s="24" t="s">
        <x:v>403</x:v>
      </x:c>
      <x:c r="C4" s="24" t="s">
        <x:v>1403</x:v>
      </x:c>
      <x:c r="D4" s="24" t="s">
        <x:v>1394</x:v>
      </x:c>
      <x:c r="E4" s="24" t="s">
        <x:v>1404</x:v>
      </x:c>
      <x:c r="F4" s="24" t="s">
        <x:v>318</x:v>
      </x:c>
      <x:c r="G4" s="26">
        <x:v>70</x:v>
      </x:c>
      <x:c r="H4" s="26">
        <x:v>1609</x:v>
      </x:c>
      <x:c r="I4" s="26">
        <x:v>44</x:v>
      </x:c>
      <x:c r="J4" s="24" t="s">
        <x:v>975</x:v>
      </x:c>
      <x:c r="K4" s="24" t="s">
        <x:v>1396</x:v>
      </x:c>
      <x:c r="L4" s="26">
        <x:v>6</x:v>
      </x:c>
      <x:c r="M4" s="26">
        <x:v>4</x:v>
      </x:c>
      <x:c r="N4" s="26">
        <x:v>6</x:v>
      </x:c>
      <x:c r="O4" s="26">
        <x:v>5</x:v>
      </x:c>
      <x:c r="P4" s="26">
        <x:v>0</x:v>
      </x:c>
      <x:c r="Q4" s="27" t="s">
        <x:v>1405</x:v>
      </x:c>
      <x:c r="R4" s="26">
        <x:v>3052</x:v>
      </x:c>
      <x:c r="S4" s="27"/>
      <x:c r="T4" s="24" t="s">
        <x:v>1398</x:v>
      </x:c>
      <x:c r="U4" s="24" t="s">
        <x:v>1399</x:v>
      </x:c>
    </x:row>
    <x:row r="5" ht="18" customHeight="1">
      <x:c r="A5" s="26">
        <x:v>90</x:v>
      </x:c>
      <x:c r="B5" s="24" t="s">
        <x:v>240</x:v>
      </x:c>
      <x:c r="C5" s="24" t="s">
        <x:v>240</x:v>
      </x:c>
      <x:c r="D5" s="24" t="s">
        <x:v>1394</x:v>
      </x:c>
      <x:c r="E5" s="24" t="s">
        <x:v>1406</x:v>
      </x:c>
      <x:c r="F5" s="24" t="s">
        <x:v>318</x:v>
      </x:c>
      <x:c r="G5" s="26">
        <x:v>70</x:v>
      </x:c>
      <x:c r="H5" s="26">
        <x:v>1811</x:v>
      </x:c>
      <x:c r="I5" s="26">
        <x:v>42</x:v>
      </x:c>
      <x:c r="J5" s="24" t="s">
        <x:v>975</x:v>
      </x:c>
      <x:c r="K5" s="24" t="s">
        <x:v>1396</x:v>
      </x:c>
      <x:c r="L5" s="26">
        <x:v>7</x:v>
      </x:c>
      <x:c r="M5" s="26">
        <x:v>4</x:v>
      </x:c>
      <x:c r="N5" s="26">
        <x:v>4</x:v>
      </x:c>
      <x:c r="O5" s="26">
        <x:v>3</x:v>
      </x:c>
      <x:c r="P5" s="26">
        <x:v>0</x:v>
      </x:c>
      <x:c r="Q5" s="27" t="s">
        <x:v>1407</x:v>
      </x:c>
      <x:c r="R5" s="26">
        <x:v>3050</x:v>
      </x:c>
      <x:c r="S5" s="27"/>
      <x:c r="T5" s="24" t="s">
        <x:v>1368</x:v>
      </x:c>
      <x:c r="U5" s="24" t="s">
        <x:v>1399</x:v>
      </x:c>
    </x:row>
    <x:row r="6" ht="18" customHeight="1">
      <x:c r="A6" s="26">
        <x:v>127</x:v>
      </x:c>
      <x:c r="B6" s="24" t="s">
        <x:v>361</x:v>
      </x:c>
      <x:c r="C6" s="24" t="s">
        <x:v>1408</x:v>
      </x:c>
      <x:c r="D6" s="24" t="s">
        <x:v>1409</x:v>
      </x:c>
      <x:c r="E6" s="24" t="s">
        <x:v>1410</x:v>
      </x:c>
      <x:c r="F6" s="24" t="s">
        <x:v>319</x:v>
      </x:c>
      <x:c r="G6" s="26">
        <x:v>40</x:v>
      </x:c>
      <x:c r="H6" s="26">
        <x:v>749</x:v>
      </x:c>
      <x:c r="I6" s="26">
        <x:v>22</x:v>
      </x:c>
      <x:c r="J6" s="24" t="s">
        <x:v>1411</x:v>
      </x:c>
      <x:c r="K6" s="24" t="s">
        <x:v>1412</x:v>
      </x:c>
      <x:c r="L6" s="26">
        <x:v>2</x:v>
      </x:c>
      <x:c r="M6" s="26">
        <x:v>1</x:v>
      </x:c>
      <x:c r="N6" s="26">
        <x:v>1</x:v>
      </x:c>
      <x:c r="O6" s="26">
        <x:v>0</x:v>
      </x:c>
      <x:c r="P6" s="26">
        <x:v>0</x:v>
      </x:c>
      <x:c r="Q6" s="27" t="s">
        <x:v>1413</x:v>
      </x:c>
      <x:c r="R6" s="26">
        <x:v>2676</x:v>
      </x:c>
      <x:c r="S6" s="27"/>
      <x:c r="T6" s="24" t="s">
        <x:v>1398</x:v>
      </x:c>
      <x:c r="U6" s="24" t="s">
        <x:v>1399</x:v>
      </x:c>
    </x:row>
    <x:row r="7" ht="18" customHeight="1">
      <x:c r="A7" s="26">
        <x:v>128</x:v>
      </x:c>
      <x:c r="B7" s="24" t="s">
        <x:v>386</x:v>
      </x:c>
      <x:c r="C7" s="24" t="s">
        <x:v>1414</x:v>
      </x:c>
      <x:c r="D7" s="24" t="s">
        <x:v>1409</x:v>
      </x:c>
      <x:c r="E7" s="24" t="s">
        <x:v>1415</x:v>
      </x:c>
      <x:c r="F7" s="24" t="s">
        <x:v>319</x:v>
      </x:c>
      <x:c r="G7" s="26">
        <x:v>40</x:v>
      </x:c>
      <x:c r="H7" s="26">
        <x:v>740</x:v>
      </x:c>
      <x:c r="I7" s="26">
        <x:v>26</x:v>
      </x:c>
      <x:c r="J7" s="24" t="s">
        <x:v>334</x:v>
      </x:c>
      <x:c r="K7" s="24" t="s">
        <x:v>1412</x:v>
      </x:c>
      <x:c r="L7" s="26">
        <x:v>2</x:v>
      </x:c>
      <x:c r="M7" s="26">
        <x:v>1</x:v>
      </x:c>
      <x:c r="N7" s="26">
        <x:v>2</x:v>
      </x:c>
      <x:c r="O7" s="26">
        <x:v>0</x:v>
      </x:c>
      <x:c r="P7" s="26">
        <x:v>0</x:v>
      </x:c>
      <x:c r="Q7" s="27" t="s">
        <x:v>1413</x:v>
      </x:c>
      <x:c r="R7" s="26">
        <x:v>3050</x:v>
      </x:c>
      <x:c r="S7" s="27"/>
      <x:c r="T7" s="24" t="s">
        <x:v>1398</x:v>
      </x:c>
      <x:c r="U7" s="24" t="s">
        <x:v>1399</x:v>
      </x:c>
    </x:row>
    <x:row r="8" ht="18" customHeight="1">
      <x:c r="A8" s="26">
        <x:v>140</x:v>
      </x:c>
      <x:c r="B8" s="24" t="s">
        <x:v>430</x:v>
      </x:c>
      <x:c r="C8" s="24" t="s">
        <x:v>1416</x:v>
      </x:c>
      <x:c r="D8" s="24" t="s">
        <x:v>1417</x:v>
      </x:c>
      <x:c r="E8" s="24" t="s">
        <x:v>1418</x:v>
      </x:c>
      <x:c r="F8" s="24" t="s">
        <x:v>324</x:v>
      </x:c>
      <x:c r="G8" s="26">
        <x:v>100</x:v>
      </x:c>
      <x:c r="H8" s="26">
        <x:v>1897</x:v>
      </x:c>
      <x:c r="I8" s="26">
        <x:v>52</x:v>
      </x:c>
      <x:c r="J8" s="24" t="s">
        <x:v>928</x:v>
      </x:c>
      <x:c r="K8" s="24" t="s">
        <x:v>1419</x:v>
      </x:c>
      <x:c r="L8" s="26">
        <x:v>10</x:v>
      </x:c>
      <x:c r="M8" s="26">
        <x:v>5</x:v>
      </x:c>
      <x:c r="N8" s="26">
        <x:v>5</x:v>
      </x:c>
      <x:c r="O8" s="26">
        <x:v>2</x:v>
      </x:c>
      <x:c r="P8" s="26">
        <x:v>0</x:v>
      </x:c>
      <x:c r="Q8" s="27" t="s">
        <x:v>1420</x:v>
      </x:c>
      <x:c r="R8" s="26">
        <x:v>2755</x:v>
      </x:c>
      <x:c r="S8" s="27"/>
      <x:c r="T8" s="24" t="s">
        <x:v>1398</x:v>
      </x:c>
      <x:c r="U8" s="24" t="s">
        <x:v>1399</x:v>
      </x:c>
    </x:row>
    <x:row r="9" ht="18" customHeight="1">
      <x:c r="A9" s="26">
        <x:v>144</x:v>
      </x:c>
      <x:c r="B9" s="24" t="s">
        <x:v>440</x:v>
      </x:c>
      <x:c r="C9" s="24" t="s">
        <x:v>1421</x:v>
      </x:c>
      <x:c r="D9" s="24" t="s">
        <x:v>1417</x:v>
      </x:c>
      <x:c r="E9" s="24" t="s">
        <x:v>1422</x:v>
      </x:c>
      <x:c r="F9" s="24" t="s">
        <x:v>324</x:v>
      </x:c>
      <x:c r="G9" s="26">
        <x:v>100</x:v>
      </x:c>
      <x:c r="H9" s="26">
        <x:v>2175</x:v>
      </x:c>
      <x:c r="I9" s="26">
        <x:v>45</x:v>
      </x:c>
      <x:c r="J9" s="24" t="s">
        <x:v>1253</x:v>
      </x:c>
      <x:c r="K9" s="24" t="s">
        <x:v>1419</x:v>
      </x:c>
      <x:c r="L9" s="26">
        <x:v>10</x:v>
      </x:c>
      <x:c r="M9" s="26">
        <x:v>3</x:v>
      </x:c>
      <x:c r="N9" s="26">
        <x:v>3</x:v>
      </x:c>
      <x:c r="O9" s="26">
        <x:v>3</x:v>
      </x:c>
      <x:c r="P9" s="26">
        <x:v>0</x:v>
      </x:c>
      <x:c r="Q9" s="27" t="s">
        <x:v>1423</x:v>
      </x:c>
      <x:c r="R9" s="26">
        <x:v>3049</x:v>
      </x:c>
      <x:c r="S9" s="27"/>
      <x:c r="T9" s="24" t="s">
        <x:v>1398</x:v>
      </x:c>
      <x:c r="U9" s="24" t="s">
        <x:v>1399</x:v>
      </x:c>
    </x:row>
    <x:row r="10" ht="18" customHeight="1">
      <x:c r="A10" s="26">
        <x:v>3750</x:v>
      </x:c>
      <x:c r="B10" s="24" t="s">
        <x:v>283</x:v>
      </x:c>
      <x:c r="C10" s="24" t="s">
        <x:v>283</x:v>
      </x:c>
      <x:c r="D10" s="24" t="s">
        <x:v>1417</x:v>
      </x:c>
      <x:c r="E10" s="24" t="s">
        <x:v>1406</x:v>
      </x:c>
      <x:c r="F10" s="24" t="s">
        <x:v>324</x:v>
      </x:c>
      <x:c r="G10" s="26">
        <x:v>100</x:v>
      </x:c>
      <x:c r="H10" s="26">
        <x:v>2340</x:v>
      </x:c>
      <x:c r="I10" s="26">
        <x:v>53</x:v>
      </x:c>
      <x:c r="J10" s="24" t="s">
        <x:v>928</x:v>
      </x:c>
      <x:c r="K10" s="24" t="s">
        <x:v>1419</x:v>
      </x:c>
      <x:c r="L10" s="26">
        <x:v>10</x:v>
      </x:c>
      <x:c r="M10" s="26">
        <x:v>5</x:v>
      </x:c>
      <x:c r="N10" s="26">
        <x:v>5</x:v>
      </x:c>
      <x:c r="O10" s="26">
        <x:v>2</x:v>
      </x:c>
      <x:c r="P10" s="26">
        <x:v>0</x:v>
      </x:c>
      <x:c r="Q10" s="27" t="s">
        <x:v>1424</x:v>
      </x:c>
      <x:c r="R10" s="26">
        <x:v>3050</x:v>
      </x:c>
      <x:c r="S10" s="27"/>
      <x:c r="T10" s="24" t="s">
        <x:v>1368</x:v>
      </x:c>
      <x:c r="U10" s="24" t="s">
        <x:v>1399</x:v>
      </x:c>
    </x:row>
    <x:row r="11" ht="18" customHeight="1">
      <x:c r="A11" s="26">
        <x:v>152</x:v>
      </x:c>
      <x:c r="B11" s="24" t="s">
        <x:v>284</x:v>
      </x:c>
      <x:c r="C11" s="24" t="s">
        <x:v>1425</x:v>
      </x:c>
      <x:c r="D11" s="24" t="s">
        <x:v>1426</x:v>
      </x:c>
      <x:c r="E11" s="24" t="s">
        <x:v>1427</x:v>
      </x:c>
      <x:c r="F11" s="24" t="s">
        <x:v>324</x:v>
      </x:c>
      <x:c r="G11" s="26">
        <x:v>100</x:v>
      </x:c>
      <x:c r="H11" s="26">
        <x:v>2169</x:v>
      </x:c>
      <x:c r="I11" s="26">
        <x:v>52</x:v>
      </x:c>
      <x:c r="J11" s="24" t="s">
        <x:v>928</x:v>
      </x:c>
      <x:c r="K11" s="24" t="s">
        <x:v>1419</x:v>
      </x:c>
      <x:c r="L11" s="26">
        <x:v>10</x:v>
      </x:c>
      <x:c r="M11" s="26">
        <x:v>4</x:v>
      </x:c>
      <x:c r="N11" s="26">
        <x:v>4</x:v>
      </x:c>
      <x:c r="O11" s="26">
        <x:v>4</x:v>
      </x:c>
      <x:c r="P11" s="26">
        <x:v>0</x:v>
      </x:c>
      <x:c r="Q11" s="27" t="s">
        <x:v>1428</x:v>
      </x:c>
      <x:c r="R11" s="26">
        <x:v>2765</x:v>
      </x:c>
      <x:c r="S11" s="27"/>
      <x:c r="T11" s="24" t="s">
        <x:v>1398</x:v>
      </x:c>
      <x:c r="U11" s="24" t="s">
        <x:v>1399</x:v>
      </x:c>
    </x:row>
    <x:row r="12" ht="18" customHeight="1">
      <x:c r="A12" s="26">
        <x:v>174</x:v>
      </x:c>
      <x:c r="B12" s="24" t="s">
        <x:v>435</x:v>
      </x:c>
      <x:c r="C12" s="24" t="s">
        <x:v>1429</x:v>
      </x:c>
      <x:c r="D12" s="24" t="s">
        <x:v>1430</x:v>
      </x:c>
      <x:c r="E12" s="24" t="s">
        <x:v>1431</x:v>
      </x:c>
      <x:c r="F12" s="24" t="s">
        <x:v>324</x:v>
      </x:c>
      <x:c r="G12" s="26">
        <x:v>80</x:v>
      </x:c>
      <x:c r="H12" s="26">
        <x:v>1605</x:v>
      </x:c>
      <x:c r="I12" s="26">
        <x:v>39</x:v>
      </x:c>
      <x:c r="J12" s="24" t="s">
        <x:v>1253</x:v>
      </x:c>
      <x:c r="K12" s="24" t="s">
        <x:v>1419</x:v>
      </x:c>
      <x:c r="L12" s="26">
        <x:v>8</x:v>
      </x:c>
      <x:c r="M12" s="26">
        <x:v>3</x:v>
      </x:c>
      <x:c r="N12" s="26">
        <x:v>3</x:v>
      </x:c>
      <x:c r="O12" s="26">
        <x:v>3</x:v>
      </x:c>
      <x:c r="P12" s="26">
        <x:v>0</x:v>
      </x:c>
      <x:c r="Q12" s="27" t="s">
        <x:v>1432</x:v>
      </x:c>
      <x:c r="R12" s="26">
        <x:v>2665</x:v>
      </x:c>
      <x:c r="S12" s="27"/>
      <x:c r="T12" s="24" t="s">
        <x:v>1398</x:v>
      </x:c>
      <x:c r="U12" s="24" t="s">
        <x:v>1399</x:v>
      </x:c>
    </x:row>
    <x:row r="13" ht="18" customHeight="1">
      <x:c r="A13" s="26">
        <x:v>189</x:v>
      </x:c>
      <x:c r="B13" s="24" t="s">
        <x:v>71</x:v>
      </x:c>
      <x:c r="C13" s="24" t="s">
        <x:v>1433</x:v>
      </x:c>
      <x:c r="D13" s="24" t="s">
        <x:v>1434</x:v>
      </x:c>
      <x:c r="E13" s="24" t="s">
        <x:v>1435</x:v>
      </x:c>
      <x:c r="F13" s="24" t="s">
        <x:v>317</x:v>
      </x:c>
      <x:c r="G13" s="26">
        <x:v>20</x:v>
      </x:c>
      <x:c r="H13" s="26">
        <x:v>645</x:v>
      </x:c>
      <x:c r="I13" s="26">
        <x:v>20</x:v>
      </x:c>
      <x:c r="J13" s="24" t="s">
        <x:v>975</x:v>
      </x:c>
      <x:c r="K13" s="24" t="s">
        <x:v>1436</x:v>
      </x:c>
      <x:c r="L13" s="26">
        <x:v>2</x:v>
      </x:c>
      <x:c r="M13" s="26">
        <x:v>1</x:v>
      </x:c>
      <x:c r="N13" s="26">
        <x:v>1</x:v>
      </x:c>
      <x:c r="O13" s="26">
        <x:v>1</x:v>
      </x:c>
      <x:c r="P13" s="26">
        <x:v>0</x:v>
      </x:c>
      <x:c r="Q13" s="27" t="s">
        <x:v>1428</x:v>
      </x:c>
      <x:c r="R13" s="26">
        <x:v>2871</x:v>
      </x:c>
      <x:c r="S13" s="27"/>
      <x:c r="T13" s="24" t="s">
        <x:v>857</x:v>
      </x:c>
      <x:c r="U13" s="24" t="s">
        <x:v>1399</x:v>
      </x:c>
    </x:row>
    <x:row r="14" ht="18" customHeight="1">
      <x:c r="A14" s="26">
        <x:v>240</x:v>
      </x:c>
      <x:c r="B14" s="24" t="s">
        <x:v>431</x:v>
      </x:c>
      <x:c r="C14" s="24" t="s">
        <x:v>1437</x:v>
      </x:c>
      <x:c r="D14" s="24" t="s">
        <x:v>1438</x:v>
      </x:c>
      <x:c r="E14" s="24" t="s">
        <x:v>1439</x:v>
      </x:c>
      <x:c r="F14" s="24" t="s">
        <x:v>324</x:v>
      </x:c>
      <x:c r="G14" s="26">
        <x:v>95</x:v>
      </x:c>
      <x:c r="H14" s="26">
        <x:v>1422</x:v>
      </x:c>
      <x:c r="I14" s="26">
        <x:v>38</x:v>
      </x:c>
      <x:c r="J14" s="24" t="s">
        <x:v>1253</x:v>
      </x:c>
      <x:c r="K14" s="24" t="s">
        <x:v>1396</x:v>
      </x:c>
      <x:c r="L14" s="26">
        <x:v>8</x:v>
      </x:c>
      <x:c r="M14" s="26">
        <x:v>2</x:v>
      </x:c>
      <x:c r="N14" s="26">
        <x:v>2</x:v>
      </x:c>
      <x:c r="O14" s="26">
        <x:v>2</x:v>
      </x:c>
      <x:c r="P14" s="26">
        <x:v>0</x:v>
      </x:c>
      <x:c r="Q14" s="27"/>
      <x:c r="R14" s="26">
        <x:v>2475</x:v>
      </x:c>
      <x:c r="S14" s="27"/>
      <x:c r="T14" s="24" t="s">
        <x:v>1398</x:v>
      </x:c>
      <x:c r="U14" s="24" t="s">
        <x:v>1399</x:v>
      </x:c>
    </x:row>
    <x:row r="15" ht="18" customHeight="1">
      <x:c r="A15" s="26">
        <x:v>262</x:v>
      </x:c>
      <x:c r="B15" s="24" t="s">
        <x:v>122</x:v>
      </x:c>
      <x:c r="C15" s="24" t="s">
        <x:v>122</x:v>
      </x:c>
      <x:c r="D15" s="24" t="s">
        <x:v>1440</x:v>
      </x:c>
      <x:c r="E15" s="24" t="s">
        <x:v>1441</x:v>
      </x:c>
      <x:c r="F15" s="24" t="s">
        <x:v>319</x:v>
      </x:c>
      <x:c r="G15" s="26">
        <x:v>40</x:v>
      </x:c>
      <x:c r="H15" s="26">
        <x:v>1892</x:v>
      </x:c>
      <x:c r="I15" s="26">
        <x:v>32</x:v>
      </x:c>
      <x:c r="J15" s="24" t="s">
        <x:v>1253</x:v>
      </x:c>
      <x:c r="K15" s="24" t="s">
        <x:v>1442</x:v>
      </x:c>
      <x:c r="L15" s="26">
        <x:v>4</x:v>
      </x:c>
      <x:c r="M15" s="26">
        <x:v>3</x:v>
      </x:c>
      <x:c r="N15" s="26">
        <x:v>3</x:v>
      </x:c>
      <x:c r="O15" s="26">
        <x:v>3</x:v>
      </x:c>
      <x:c r="P15" s="26">
        <x:v>0</x:v>
      </x:c>
      <x:c r="Q15" s="27" t="s">
        <x:v>1443</x:v>
      </x:c>
      <x:c r="R15" s="26">
        <x:v>2873</x:v>
      </x:c>
      <x:c r="S15" s="27"/>
      <x:c r="T15" s="24" t="s">
        <x:v>857</x:v>
      </x:c>
      <x:c r="U15" s="24" t="s">
        <x:v>1399</x:v>
      </x:c>
    </x:row>
    <x:row r="16" ht="18" customHeight="1">
      <x:c r="A16" s="26">
        <x:v>273</x:v>
      </x:c>
      <x:c r="B16" s="24" t="s">
        <x:v>120</x:v>
      </x:c>
      <x:c r="C16" s="24" t="s">
        <x:v>120</x:v>
      </x:c>
      <x:c r="D16" s="24" t="s">
        <x:v>1440</x:v>
      </x:c>
      <x:c r="E16" s="24" t="s">
        <x:v>1444</x:v>
      </x:c>
      <x:c r="F16" s="24" t="s">
        <x:v>319</x:v>
      </x:c>
      <x:c r="G16" s="26">
        <x:v>40</x:v>
      </x:c>
      <x:c r="H16" s="26">
        <x:v>1487</x:v>
      </x:c>
      <x:c r="I16" s="26">
        <x:v>31</x:v>
      </x:c>
      <x:c r="J16" s="24" t="s">
        <x:v>1253</x:v>
      </x:c>
      <x:c r="K16" s="24" t="s">
        <x:v>1442</x:v>
      </x:c>
      <x:c r="L16" s="26">
        <x:v>4</x:v>
      </x:c>
      <x:c r="M16" s="26">
        <x:v>3</x:v>
      </x:c>
      <x:c r="N16" s="26">
        <x:v>3</x:v>
      </x:c>
      <x:c r="O16" s="26">
        <x:v>3</x:v>
      </x:c>
      <x:c r="P16" s="26">
        <x:v>0</x:v>
      </x:c>
      <x:c r="Q16" s="27" t="s">
        <x:v>1443</x:v>
      </x:c>
      <x:c r="R16" s="26">
        <x:v>2873</x:v>
      </x:c>
      <x:c r="S16" s="27"/>
      <x:c r="T16" s="24" t="s">
        <x:v>857</x:v>
      </x:c>
      <x:c r="U16" s="24" t="s">
        <x:v>1399</x:v>
      </x:c>
    </x:row>
    <x:row r="17" ht="18" customHeight="1">
      <x:c r="A17" s="26">
        <x:v>283</x:v>
      </x:c>
      <x:c r="B17" s="24" t="s">
        <x:v>422</x:v>
      </x:c>
      <x:c r="C17" s="24" t="s">
        <x:v>1445</x:v>
      </x:c>
      <x:c r="D17" s="24" t="s">
        <x:v>1446</x:v>
      </x:c>
      <x:c r="E17" s="24" t="s">
        <x:v>1447</x:v>
      </x:c>
      <x:c r="F17" s="24" t="s">
        <x:v>324</x:v>
      </x:c>
      <x:c r="G17" s="26">
        <x:v>85</x:v>
      </x:c>
      <x:c r="H17" s="26">
        <x:v>1519</x:v>
      </x:c>
      <x:c r="I17" s="26">
        <x:v>40</x:v>
      </x:c>
      <x:c r="J17" s="24" t="s">
        <x:v>947</x:v>
      </x:c>
      <x:c r="K17" s="24" t="s">
        <x:v>1396</x:v>
      </x:c>
      <x:c r="L17" s="26">
        <x:v>8</x:v>
      </x:c>
      <x:c r="M17" s="26">
        <x:v>3</x:v>
      </x:c>
      <x:c r="N17" s="26">
        <x:v>3</x:v>
      </x:c>
      <x:c r="O17" s="26">
        <x:v>1</x:v>
      </x:c>
      <x:c r="P17" s="26">
        <x:v>0</x:v>
      </x:c>
      <x:c r="Q17" s="27" t="s">
        <x:v>1448</x:v>
      </x:c>
      <x:c r="R17" s="26">
        <x:v>2633</x:v>
      </x:c>
      <x:c r="S17" s="27"/>
      <x:c r="T17" s="24" t="s">
        <x:v>1398</x:v>
      </x:c>
      <x:c r="U17" s="24" t="s">
        <x:v>1399</x:v>
      </x:c>
    </x:row>
    <x:row r="18" ht="18" customHeight="1">
      <x:c r="A18" s="26">
        <x:v>285</x:v>
      </x:c>
      <x:c r="B18" s="24" t="s">
        <x:v>294</x:v>
      </x:c>
      <x:c r="C18" s="24" t="s">
        <x:v>1449</x:v>
      </x:c>
      <x:c r="D18" s="24" t="s">
        <x:v>1446</x:v>
      </x:c>
      <x:c r="E18" s="24" t="s">
        <x:v>1450</x:v>
      </x:c>
      <x:c r="F18" s="24" t="s">
        <x:v>324</x:v>
      </x:c>
      <x:c r="G18" s="26">
        <x:v>85</x:v>
      </x:c>
      <x:c r="H18" s="26">
        <x:v>1825</x:v>
      </x:c>
      <x:c r="I18" s="26">
        <x:v>44</x:v>
      </x:c>
      <x:c r="J18" s="24" t="s">
        <x:v>947</x:v>
      </x:c>
      <x:c r="K18" s="24" t="s">
        <x:v>1396</x:v>
      </x:c>
      <x:c r="L18" s="26">
        <x:v>8</x:v>
      </x:c>
      <x:c r="M18" s="26">
        <x:v>4</x:v>
      </x:c>
      <x:c r="N18" s="26">
        <x:v>4</x:v>
      </x:c>
      <x:c r="O18" s="26">
        <x:v>2</x:v>
      </x:c>
      <x:c r="P18" s="26">
        <x:v>0</x:v>
      </x:c>
      <x:c r="Q18" s="27" t="s">
        <x:v>1432</x:v>
      </x:c>
      <x:c r="R18" s="26">
        <x:v>2760</x:v>
      </x:c>
      <x:c r="S18" s="27"/>
      <x:c r="T18" s="24" t="s">
        <x:v>1398</x:v>
      </x:c>
      <x:c r="U18" s="24" t="s">
        <x:v>1399</x:v>
      </x:c>
    </x:row>
    <x:row r="19" ht="18" customHeight="1">
      <x:c r="A19" s="26">
        <x:v>290</x:v>
      </x:c>
      <x:c r="B19" s="24" t="s">
        <x:v>423</x:v>
      </x:c>
      <x:c r="C19" s="24" t="s">
        <x:v>1451</x:v>
      </x:c>
      <x:c r="D19" s="24" t="s">
        <x:v>1446</x:v>
      </x:c>
      <x:c r="E19" s="24" t="s">
        <x:v>1452</x:v>
      </x:c>
      <x:c r="F19" s="24" t="s">
        <x:v>324</x:v>
      </x:c>
      <x:c r="G19" s="26">
        <x:v>85</x:v>
      </x:c>
      <x:c r="H19" s="26">
        <x:v>1563</x:v>
      </x:c>
      <x:c r="I19" s="26">
        <x:v>45</x:v>
      </x:c>
      <x:c r="J19" s="24" t="s">
        <x:v>947</x:v>
      </x:c>
      <x:c r="K19" s="24" t="s">
        <x:v>1396</x:v>
      </x:c>
      <x:c r="L19" s="26">
        <x:v>8</x:v>
      </x:c>
      <x:c r="M19" s="26">
        <x:v>3</x:v>
      </x:c>
      <x:c r="N19" s="26">
        <x:v>3</x:v>
      </x:c>
      <x:c r="O19" s="26">
        <x:v>1</x:v>
      </x:c>
      <x:c r="P19" s="26">
        <x:v>0</x:v>
      </x:c>
      <x:c r="Q19" s="27" t="s">
        <x:v>1453</x:v>
      </x:c>
      <x:c r="R19" s="26">
        <x:v>2925</x:v>
      </x:c>
      <x:c r="S19" s="27"/>
      <x:c r="T19" s="24" t="s">
        <x:v>1398</x:v>
      </x:c>
      <x:c r="U19" s="24" t="s">
        <x:v>1399</x:v>
      </x:c>
    </x:row>
    <x:row r="20" ht="18" customHeight="1">
      <x:c r="A20" s="26">
        <x:v>291</x:v>
      </x:c>
      <x:c r="B20" s="24" t="s">
        <x:v>429</x:v>
      </x:c>
      <x:c r="C20" s="24" t="s">
        <x:v>1454</x:v>
      </x:c>
      <x:c r="D20" s="24" t="s">
        <x:v>1446</x:v>
      </x:c>
      <x:c r="E20" s="24" t="s">
        <x:v>1455</x:v>
      </x:c>
      <x:c r="F20" s="24" t="s">
        <x:v>324</x:v>
      </x:c>
      <x:c r="G20" s="26">
        <x:v>85</x:v>
      </x:c>
      <x:c r="H20" s="26">
        <x:v>1679</x:v>
      </x:c>
      <x:c r="I20" s="26">
        <x:v>42</x:v>
      </x:c>
      <x:c r="J20" s="24" t="s">
        <x:v>947</x:v>
      </x:c>
      <x:c r="K20" s="24" t="s">
        <x:v>1396</x:v>
      </x:c>
      <x:c r="L20" s="26">
        <x:v>8</x:v>
      </x:c>
      <x:c r="M20" s="26">
        <x:v>4</x:v>
      </x:c>
      <x:c r="N20" s="26">
        <x:v>4</x:v>
      </x:c>
      <x:c r="O20" s="26">
        <x:v>1</x:v>
      </x:c>
      <x:c r="P20" s="26">
        <x:v>0</x:v>
      </x:c>
      <x:c r="Q20" s="27" t="s">
        <x:v>1456</x:v>
      </x:c>
      <x:c r="R20" s="26">
        <x:v>3049</x:v>
      </x:c>
      <x:c r="S20" s="27"/>
      <x:c r="T20" s="24" t="s">
        <x:v>1398</x:v>
      </x:c>
      <x:c r="U20" s="24" t="s">
        <x:v>1399</x:v>
      </x:c>
    </x:row>
    <x:row r="21" ht="18" customHeight="1">
      <x:c r="A21" s="26">
        <x:v>318</x:v>
      </x:c>
      <x:c r="B21" s="24" t="s">
        <x:v>290</x:v>
      </x:c>
      <x:c r="C21" s="24" t="s">
        <x:v>1457</x:v>
      </x:c>
      <x:c r="D21" s="24" t="s">
        <x:v>1458</x:v>
      </x:c>
      <x:c r="E21" s="24" t="s">
        <x:v>1435</x:v>
      </x:c>
      <x:c r="F21" s="24" t="s">
        <x:v>324</x:v>
      </x:c>
      <x:c r="G21" s="26">
        <x:v>100</x:v>
      </x:c>
      <x:c r="H21" s="26">
        <x:v>3001</x:v>
      </x:c>
      <x:c r="I21" s="26">
        <x:v>56</x:v>
      </x:c>
      <x:c r="J21" s="24" t="s">
        <x:v>1253</x:v>
      </x:c>
      <x:c r="K21" s="24" t="s">
        <x:v>1459</x:v>
      </x:c>
      <x:c r="L21" s="26">
        <x:v>10</x:v>
      </x:c>
      <x:c r="M21" s="26">
        <x:v>5</x:v>
      </x:c>
      <x:c r="N21" s="26">
        <x:v>5</x:v>
      </x:c>
      <x:c r="O21" s="26">
        <x:v>5</x:v>
      </x:c>
      <x:c r="P21" s="26">
        <x:v>0</x:v>
      </x:c>
      <x:c r="Q21" s="27" t="s">
        <x:v>1460</x:v>
      </x:c>
      <x:c r="R21" s="26">
        <x:v>2847</x:v>
      </x:c>
      <x:c r="S21" s="27"/>
      <x:c r="T21" s="24" t="s">
        <x:v>857</x:v>
      </x:c>
      <x:c r="U21" s="24" t="s">
        <x:v>1399</x:v>
      </x:c>
    </x:row>
    <x:row r="22" ht="18" customHeight="1">
      <x:c r="A22" s="26">
        <x:v>3814</x:v>
      </x:c>
      <x:c r="B22" s="24" t="s">
        <x:v>281</x:v>
      </x:c>
      <x:c r="C22" s="24" t="s">
        <x:v>1461</x:v>
      </x:c>
      <x:c r="D22" s="24" t="s">
        <x:v>1458</x:v>
      </x:c>
      <x:c r="E22" s="24">
        <x:v>4</x:v>
      </x:c>
      <x:c r="F22" s="24" t="s">
        <x:v>324</x:v>
      </x:c>
      <x:c r="G22" s="26">
        <x:v>100</x:v>
      </x:c>
      <x:c r="H22" s="26">
        <x:v>2601</x:v>
      </x:c>
      <x:c r="I22" s="26">
        <x:v>44</x:v>
      </x:c>
      <x:c r="J22" s="24" t="s">
        <x:v>928</x:v>
      </x:c>
      <x:c r="K22" s="24" t="s">
        <x:v>1459</x:v>
      </x:c>
      <x:c r="L22" s="26">
        <x:v>9</x:v>
      </x:c>
      <x:c r="M22" s="26">
        <x:v>4</x:v>
      </x:c>
      <x:c r="N22" s="26">
        <x:v>3</x:v>
      </x:c>
      <x:c r="O22" s="26">
        <x:v>2</x:v>
      </x:c>
      <x:c r="P22" s="26">
        <x:v>0</x:v>
      </x:c>
      <x:c r="Q22" s="27" t="s">
        <x:v>1460</x:v>
      </x:c>
      <x:c r="R22" s="26">
        <x:v>2846</x:v>
      </x:c>
      <x:c r="S22" s="27"/>
      <x:c r="T22" s="24" t="s">
        <x:v>857</x:v>
      </x:c>
      <x:c r="U22" s="24" t="s">
        <x:v>1399</x:v>
      </x:c>
    </x:row>
    <x:row r="23" ht="18" customHeight="1">
      <x:c r="A23" s="26">
        <x:v>3815</x:v>
      </x:c>
      <x:c r="B23" s="24" t="s">
        <x:v>288</x:v>
      </x:c>
      <x:c r="C23" s="24" t="s">
        <x:v>1462</x:v>
      </x:c>
      <x:c r="D23" s="24" t="s">
        <x:v>1458</x:v>
      </x:c>
      <x:c r="E23" s="24">
        <x:v>5</x:v>
      </x:c>
      <x:c r="F23" s="24" t="s">
        <x:v>324</x:v>
      </x:c>
      <x:c r="G23" s="26">
        <x:v>100</x:v>
      </x:c>
      <x:c r="H23" s="26">
        <x:v>2157</x:v>
      </x:c>
      <x:c r="I23" s="26">
        <x:v>46</x:v>
      </x:c>
      <x:c r="J23" s="24" t="s">
        <x:v>928</x:v>
      </x:c>
      <x:c r="K23" s="24" t="s">
        <x:v>1396</x:v>
      </x:c>
      <x:c r="L23" s="26">
        <x:v>9</x:v>
      </x:c>
      <x:c r="M23" s="26">
        <x:v>4</x:v>
      </x:c>
      <x:c r="N23" s="26">
        <x:v>5</x:v>
      </x:c>
      <x:c r="O23" s="26">
        <x:v>2</x:v>
      </x:c>
      <x:c r="P23" s="26">
        <x:v>0</x:v>
      </x:c>
      <x:c r="Q23" s="27" t="s">
        <x:v>1463</x:v>
      </x:c>
      <x:c r="R23" s="26">
        <x:v>2846</x:v>
      </x:c>
      <x:c r="S23" s="27"/>
      <x:c r="T23" s="24" t="s">
        <x:v>857</x:v>
      </x:c>
      <x:c r="U23" s="24" t="s">
        <x:v>1399</x:v>
      </x:c>
    </x:row>
    <x:row r="24" ht="18" customHeight="1">
      <x:c r="A24" s="26">
        <x:v>3816</x:v>
      </x:c>
      <x:c r="B24" s="24" t="s">
        <x:v>296</x:v>
      </x:c>
      <x:c r="C24" s="24" t="s">
        <x:v>1464</x:v>
      </x:c>
      <x:c r="D24" s="24" t="s">
        <x:v>1458</x:v>
      </x:c>
      <x:c r="E24" s="24">
        <x:v>6</x:v>
      </x:c>
      <x:c r="F24" s="24" t="s">
        <x:v>324</x:v>
      </x:c>
      <x:c r="G24" s="26">
        <x:v>100</x:v>
      </x:c>
      <x:c r="H24" s="26">
        <x:v>2981</x:v>
      </x:c>
      <x:c r="I24" s="26">
        <x:v>56</x:v>
      </x:c>
      <x:c r="J24" s="24" t="s">
        <x:v>947</x:v>
      </x:c>
      <x:c r="K24" s="24" t="s">
        <x:v>1465</x:v>
      </x:c>
      <x:c r="L24" s="26">
        <x:v>9</x:v>
      </x:c>
      <x:c r="M24" s="26">
        <x:v>8</x:v>
      </x:c>
      <x:c r="N24" s="26">
        <x:v>8</x:v>
      </x:c>
      <x:c r="O24" s="26">
        <x:v>0</x:v>
      </x:c>
      <x:c r="P24" s="26">
        <x:v>0</x:v>
      </x:c>
      <x:c r="Q24" s="27" t="s">
        <x:v>1466</x:v>
      </x:c>
      <x:c r="R24" s="26">
        <x:v>2999</x:v>
      </x:c>
      <x:c r="S24" s="27"/>
      <x:c r="T24" s="24" t="s">
        <x:v>857</x:v>
      </x:c>
      <x:c r="U24" s="24" t="s">
        <x:v>1399</x:v>
      </x:c>
    </x:row>
    <x:row r="25" ht="18" customHeight="1">
      <x:c r="A25" s="26">
        <x:v>335</x:v>
      </x:c>
      <x:c r="B25" s="24" t="s">
        <x:v>102</x:v>
      </x:c>
      <x:c r="C25" s="24" t="s">
        <x:v>1467</x:v>
      </x:c>
      <x:c r="D25" s="24" t="s">
        <x:v>1468</x:v>
      </x:c>
      <x:c r="E25" s="24" t="s">
        <x:v>1469</x:v>
      </x:c>
      <x:c r="F25" s="24" t="s">
        <x:v>319</x:v>
      </x:c>
      <x:c r="G25" s="26">
        <x:v>50</x:v>
      </x:c>
      <x:c r="H25" s="26">
        <x:v>2422</x:v>
      </x:c>
      <x:c r="I25" s="26">
        <x:v>35</x:v>
      </x:c>
      <x:c r="J25" s="24" t="s">
        <x:v>1253</x:v>
      </x:c>
      <x:c r="K25" s="24" t="s">
        <x:v>1470</x:v>
      </x:c>
      <x:c r="L25" s="26">
        <x:v>5</x:v>
      </x:c>
      <x:c r="M25" s="26">
        <x:v>3</x:v>
      </x:c>
      <x:c r="N25" s="26">
        <x:v>3</x:v>
      </x:c>
      <x:c r="O25" s="26">
        <x:v>3</x:v>
      </x:c>
      <x:c r="P25" s="26">
        <x:v>0</x:v>
      </x:c>
      <x:c r="Q25" s="27" t="s">
        <x:v>1471</x:v>
      </x:c>
      <x:c r="R25" s="26">
        <x:v>2870</x:v>
      </x:c>
      <x:c r="S25" s="27"/>
      <x:c r="T25" s="24" t="s">
        <x:v>857</x:v>
      </x:c>
      <x:c r="U25" s="24" t="s">
        <x:v>1399</x:v>
      </x:c>
    </x:row>
    <x:row r="26" ht="18" customHeight="1">
      <x:c r="A26" s="26">
        <x:v>336</x:v>
      </x:c>
      <x:c r="B26" s="24" t="s">
        <x:v>114</x:v>
      </x:c>
      <x:c r="C26" s="24" t="s">
        <x:v>1472</x:v>
      </x:c>
      <x:c r="D26" s="24" t="s">
        <x:v>1468</x:v>
      </x:c>
      <x:c r="E26" s="24" t="s">
        <x:v>1441</x:v>
      </x:c>
      <x:c r="F26" s="24" t="s">
        <x:v>319</x:v>
      </x:c>
      <x:c r="G26" s="26">
        <x:v>50</x:v>
      </x:c>
      <x:c r="H26" s="26">
        <x:v>1543</x:v>
      </x:c>
      <x:c r="I26" s="26">
        <x:v>32</x:v>
      </x:c>
      <x:c r="J26" s="24" t="s">
        <x:v>1253</x:v>
      </x:c>
      <x:c r="K26" s="24" t="s">
        <x:v>1470</x:v>
      </x:c>
      <x:c r="L26" s="26">
        <x:v>5</x:v>
      </x:c>
      <x:c r="M26" s="26">
        <x:v>3</x:v>
      </x:c>
      <x:c r="N26" s="26">
        <x:v>3</x:v>
      </x:c>
      <x:c r="O26" s="26">
        <x:v>2</x:v>
      </x:c>
      <x:c r="P26" s="26">
        <x:v>0</x:v>
      </x:c>
      <x:c r="Q26" s="27" t="s">
        <x:v>1473</x:v>
      </x:c>
      <x:c r="R26" s="26">
        <x:v>2870</x:v>
      </x:c>
      <x:c r="S26" s="27"/>
      <x:c r="T26" s="24" t="s">
        <x:v>857</x:v>
      </x:c>
      <x:c r="U26" s="24" t="s">
        <x:v>1399</x:v>
      </x:c>
    </x:row>
    <x:row r="27" ht="18" customHeight="1">
      <x:c r="A27" s="26">
        <x:v>337</x:v>
      </x:c>
      <x:c r="B27" s="24" t="s">
        <x:v>121</x:v>
      </x:c>
      <x:c r="C27" s="24" t="s">
        <x:v>1474</x:v>
      </x:c>
      <x:c r="D27" s="24" t="s">
        <x:v>1468</x:v>
      </x:c>
      <x:c r="E27" s="24" t="s">
        <x:v>1406</x:v>
      </x:c>
      <x:c r="F27" s="24" t="s">
        <x:v>319</x:v>
      </x:c>
      <x:c r="G27" s="26">
        <x:v>50</x:v>
      </x:c>
      <x:c r="H27" s="26">
        <x:v>1515</x:v>
      </x:c>
      <x:c r="I27" s="26">
        <x:v>31</x:v>
      </x:c>
      <x:c r="J27" s="24" t="s">
        <x:v>1253</x:v>
      </x:c>
      <x:c r="K27" s="24" t="s">
        <x:v>1470</x:v>
      </x:c>
      <x:c r="L27" s="26">
        <x:v>5</x:v>
      </x:c>
      <x:c r="M27" s="26">
        <x:v>2</x:v>
      </x:c>
      <x:c r="N27" s="26">
        <x:v>3</x:v>
      </x:c>
      <x:c r="O27" s="26">
        <x:v>2</x:v>
      </x:c>
      <x:c r="P27" s="26">
        <x:v>0</x:v>
      </x:c>
      <x:c r="Q27" s="27" t="s">
        <x:v>1473</x:v>
      </x:c>
      <x:c r="R27" s="26">
        <x:v>2870</x:v>
      </x:c>
      <x:c r="S27" s="27"/>
      <x:c r="T27" s="24" t="s">
        <x:v>857</x:v>
      </x:c>
      <x:c r="U27" s="24" t="s">
        <x:v>1399</x:v>
      </x:c>
    </x:row>
    <x:row r="28" ht="18" customHeight="1">
      <x:c r="A28" s="26">
        <x:v>338</x:v>
      </x:c>
      <x:c r="B28" s="24" t="s">
        <x:v>110</x:v>
      </x:c>
      <x:c r="C28" s="24" t="s">
        <x:v>1475</x:v>
      </x:c>
      <x:c r="D28" s="24" t="s">
        <x:v>1468</x:v>
      </x:c>
      <x:c r="E28" s="24" t="s">
        <x:v>1476</x:v>
      </x:c>
      <x:c r="F28" s="24" t="s">
        <x:v>319</x:v>
      </x:c>
      <x:c r="G28" s="26">
        <x:v>50</x:v>
      </x:c>
      <x:c r="H28" s="26">
        <x:v>1450</x:v>
      </x:c>
      <x:c r="I28" s="26">
        <x:v>29</x:v>
      </x:c>
      <x:c r="J28" s="24" t="s">
        <x:v>975</x:v>
      </x:c>
      <x:c r="K28" s="24" t="s">
        <x:v>1470</x:v>
      </x:c>
      <x:c r="L28" s="26">
        <x:v>5</x:v>
      </x:c>
      <x:c r="M28" s="26">
        <x:v>2</x:v>
      </x:c>
      <x:c r="N28" s="26">
        <x:v>2</x:v>
      </x:c>
      <x:c r="O28" s="26">
        <x:v>2</x:v>
      </x:c>
      <x:c r="P28" s="26">
        <x:v>0</x:v>
      </x:c>
      <x:c r="Q28" s="27" t="s">
        <x:v>1477</x:v>
      </x:c>
      <x:c r="R28" s="26">
        <x:v>2870</x:v>
      </x:c>
      <x:c r="S28" s="27"/>
      <x:c r="T28" s="24" t="s">
        <x:v>857</x:v>
      </x:c>
      <x:c r="U28" s="24" t="s">
        <x:v>1399</x:v>
      </x:c>
    </x:row>
    <x:row r="29" ht="18" customHeight="1">
      <x:c r="A29" s="26">
        <x:v>342</x:v>
      </x:c>
      <x:c r="B29" s="24" t="s">
        <x:v>88</x:v>
      </x:c>
      <x:c r="C29" s="24" t="s">
        <x:v>1478</x:v>
      </x:c>
      <x:c r="D29" s="24" t="s">
        <x:v>1468</x:v>
      </x:c>
      <x:c r="E29" s="24" t="s">
        <x:v>1444</x:v>
      </x:c>
      <x:c r="F29" s="24" t="s">
        <x:v>319</x:v>
      </x:c>
      <x:c r="G29" s="26">
        <x:v>50</x:v>
      </x:c>
      <x:c r="H29" s="26">
        <x:v>2663</x:v>
      </x:c>
      <x:c r="I29" s="26">
        <x:v>41</x:v>
      </x:c>
      <x:c r="J29" s="24" t="s">
        <x:v>1001</x:v>
      </x:c>
      <x:c r="K29" s="24" t="s">
        <x:v>1470</x:v>
      </x:c>
      <x:c r="L29" s="26">
        <x:v>5</x:v>
      </x:c>
      <x:c r="M29" s="26">
        <x:v>5</x:v>
      </x:c>
      <x:c r="N29" s="26">
        <x:v>5</x:v>
      </x:c>
      <x:c r="O29" s="26">
        <x:v>0</x:v>
      </x:c>
      <x:c r="P29" s="26">
        <x:v>0</x:v>
      </x:c>
      <x:c r="Q29" s="27" t="s">
        <x:v>1443</x:v>
      </x:c>
      <x:c r="R29" s="26">
        <x:v>2870</x:v>
      </x:c>
      <x:c r="S29" s="27"/>
      <x:c r="T29" s="24" t="s">
        <x:v>857</x:v>
      </x:c>
      <x:c r="U29" s="24" t="s">
        <x:v>1399</x:v>
      </x:c>
    </x:row>
    <x:row r="30" ht="18" customHeight="1">
      <x:c r="A30" s="26">
        <x:v>343</x:v>
      </x:c>
      <x:c r="B30" s="24" t="s">
        <x:v>90</x:v>
      </x:c>
      <x:c r="C30" s="24" t="s">
        <x:v>1479</x:v>
      </x:c>
      <x:c r="D30" s="24" t="s">
        <x:v>1468</x:v>
      </x:c>
      <x:c r="E30" s="24" t="s">
        <x:v>1480</x:v>
      </x:c>
      <x:c r="F30" s="24" t="s">
        <x:v>319</x:v>
      </x:c>
      <x:c r="G30" s="26">
        <x:v>50</x:v>
      </x:c>
      <x:c r="H30" s="26">
        <x:v>2056</x:v>
      </x:c>
      <x:c r="I30" s="26">
        <x:v>43</x:v>
      </x:c>
      <x:c r="J30" s="24" t="s">
        <x:v>1001</x:v>
      </x:c>
      <x:c r="K30" s="24" t="s">
        <x:v>1470</x:v>
      </x:c>
      <x:c r="L30" s="26">
        <x:v>5</x:v>
      </x:c>
      <x:c r="M30" s="26">
        <x:v>6</x:v>
      </x:c>
      <x:c r="N30" s="26">
        <x:v>5</x:v>
      </x:c>
      <x:c r="O30" s="26">
        <x:v>0</x:v>
      </x:c>
      <x:c r="P30" s="26">
        <x:v>0</x:v>
      </x:c>
      <x:c r="Q30" s="27" t="s">
        <x:v>1481</x:v>
      </x:c>
      <x:c r="R30" s="26">
        <x:v>3050</x:v>
      </x:c>
      <x:c r="S30" s="27"/>
      <x:c r="T30" s="24" t="s">
        <x:v>857</x:v>
      </x:c>
      <x:c r="U30" s="24" t="s">
        <x:v>1399</x:v>
      </x:c>
    </x:row>
    <x:row r="31" ht="18" customHeight="1">
      <x:c r="A31" s="26">
        <x:v>358</x:v>
      </x:c>
      <x:c r="B31" s="24" t="s">
        <x:v>405</x:v>
      </x:c>
      <x:c r="C31" s="24" t="s">
        <x:v>1482</x:v>
      </x:c>
      <x:c r="D31" s="24" t="s">
        <x:v>1483</x:v>
      </x:c>
      <x:c r="E31" s="24" t="s">
        <x:v>1484</x:v>
      </x:c>
      <x:c r="F31" s="24" t="s">
        <x:v>318</x:v>
      </x:c>
      <x:c r="G31" s="26">
        <x:v>75</x:v>
      </x:c>
      <x:c r="H31" s="26">
        <x:v>1551</x:v>
      </x:c>
      <x:c r="I31" s="26">
        <x:v>39</x:v>
      </x:c>
      <x:c r="J31" s="24" t="s">
        <x:v>947</x:v>
      </x:c>
      <x:c r="K31" s="24" t="s">
        <x:v>1396</x:v>
      </x:c>
      <x:c r="L31" s="26">
        <x:v>7</x:v>
      </x:c>
      <x:c r="M31" s="26">
        <x:v>3</x:v>
      </x:c>
      <x:c r="N31" s="26">
        <x:v>3</x:v>
      </x:c>
      <x:c r="O31" s="26">
        <x:v>1</x:v>
      </x:c>
      <x:c r="P31" s="26">
        <x:v>0</x:v>
      </x:c>
      <x:c r="Q31" s="27" t="s">
        <x:v>1485</x:v>
      </x:c>
      <x:c r="R31" s="26">
        <x:v>2578</x:v>
      </x:c>
      <x:c r="S31" s="27"/>
      <x:c r="T31" s="24" t="s">
        <x:v>1398</x:v>
      </x:c>
      <x:c r="U31" s="24" t="s">
        <x:v>1399</x:v>
      </x:c>
    </x:row>
    <x:row r="32" ht="18" customHeight="1">
      <x:c r="A32" s="26">
        <x:v>357</x:v>
      </x:c>
      <x:c r="B32" s="24" t="s">
        <x:v>218</x:v>
      </x:c>
      <x:c r="C32" s="24" t="s">
        <x:v>1486</x:v>
      </x:c>
      <x:c r="D32" s="24" t="s">
        <x:v>1483</x:v>
      </x:c>
      <x:c r="E32" s="24" t="s">
        <x:v>1487</x:v>
      </x:c>
      <x:c r="F32" s="24" t="s">
        <x:v>318</x:v>
      </x:c>
      <x:c r="G32" s="26">
        <x:v>75</x:v>
      </x:c>
      <x:c r="H32" s="26">
        <x:v>1627</x:v>
      </x:c>
      <x:c r="I32" s="26">
        <x:v>42</x:v>
      </x:c>
      <x:c r="J32" s="24" t="s">
        <x:v>947</x:v>
      </x:c>
      <x:c r="K32" s="24" t="s">
        <x:v>1396</x:v>
      </x:c>
      <x:c r="L32" s="26">
        <x:v>7</x:v>
      </x:c>
      <x:c r="M32" s="26">
        <x:v>4</x:v>
      </x:c>
      <x:c r="N32" s="26">
        <x:v>4</x:v>
      </x:c>
      <x:c r="O32" s="26">
        <x:v>1</x:v>
      </x:c>
      <x:c r="P32" s="26">
        <x:v>0</x:v>
      </x:c>
      <x:c r="Q32" s="27" t="s">
        <x:v>1485</x:v>
      </x:c>
      <x:c r="R32" s="26">
        <x:v>2751</x:v>
      </x:c>
      <x:c r="S32" s="27"/>
      <x:c r="T32" s="24" t="s">
        <x:v>1398</x:v>
      </x:c>
      <x:c r="U32" s="24" t="s">
        <x:v>1399</x:v>
      </x:c>
    </x:row>
    <x:row r="33" ht="18" customHeight="1">
      <x:c r="A33" s="26">
        <x:v>362</x:v>
      </x:c>
      <x:c r="B33" s="24" t="s">
        <x:v>404</x:v>
      </x:c>
      <x:c r="C33" s="24" t="s">
        <x:v>1488</x:v>
      </x:c>
      <x:c r="D33" s="24" t="s">
        <x:v>1483</x:v>
      </x:c>
      <x:c r="E33" s="24" t="s">
        <x:v>1489</x:v>
      </x:c>
      <x:c r="F33" s="24" t="s">
        <x:v>318</x:v>
      </x:c>
      <x:c r="G33" s="26">
        <x:v>75</x:v>
      </x:c>
      <x:c r="H33" s="26">
        <x:v>1678</x:v>
      </x:c>
      <x:c r="I33" s="26">
        <x:v>37</x:v>
      </x:c>
      <x:c r="J33" s="24" t="s">
        <x:v>947</x:v>
      </x:c>
      <x:c r="K33" s="24" t="s">
        <x:v>1396</x:v>
      </x:c>
      <x:c r="L33" s="26">
        <x:v>7</x:v>
      </x:c>
      <x:c r="M33" s="26">
        <x:v>4</x:v>
      </x:c>
      <x:c r="N33" s="26">
        <x:v>4</x:v>
      </x:c>
      <x:c r="O33" s="26">
        <x:v>1</x:v>
      </x:c>
      <x:c r="P33" s="26">
        <x:v>0</x:v>
      </x:c>
      <x:c r="Q33" s="27" t="s">
        <x:v>1490</x:v>
      </x:c>
      <x:c r="R33" s="26">
        <x:v>3052</x:v>
      </x:c>
      <x:c r="S33" s="27"/>
      <x:c r="T33" s="24" t="s">
        <x:v>1398</x:v>
      </x:c>
      <x:c r="U33" s="24" t="s">
        <x:v>1399</x:v>
      </x:c>
    </x:row>
    <x:row r="34" ht="18" customHeight="1">
      <x:c r="A34" s="26">
        <x:v>363</x:v>
      </x:c>
      <x:c r="B34" s="24" t="s">
        <x:v>107</x:v>
      </x:c>
      <x:c r="C34" s="24" t="s">
        <x:v>107</x:v>
      </x:c>
      <x:c r="D34" s="24" t="s">
        <x:v>1491</x:v>
      </x:c>
      <x:c r="E34" s="24" t="s">
        <x:v>1469</x:v>
      </x:c>
      <x:c r="F34" s="24" t="s">
        <x:v>319</x:v>
      </x:c>
      <x:c r="G34" s="26">
        <x:v>55</x:v>
      </x:c>
      <x:c r="H34" s="26">
        <x:v>2308</x:v>
      </x:c>
      <x:c r="I34" s="26">
        <x:v>50</x:v>
      </x:c>
      <x:c r="J34" s="24" t="s">
        <x:v>1001</x:v>
      </x:c>
      <x:c r="K34" s="24" t="s">
        <x:v>1492</x:v>
      </x:c>
      <x:c r="L34" s="26">
        <x:v>5</x:v>
      </x:c>
      <x:c r="M34" s="26">
        <x:v>3</x:v>
      </x:c>
      <x:c r="N34" s="26">
        <x:v>3</x:v>
      </x:c>
      <x:c r="O34" s="26">
        <x:v>2</x:v>
      </x:c>
      <x:c r="P34" s="26">
        <x:v>0</x:v>
      </x:c>
      <x:c r="Q34" s="27" t="s">
        <x:v>1493</x:v>
      </x:c>
      <x:c r="R34" s="26">
        <x:v>3052</x:v>
      </x:c>
      <x:c r="S34" s="27"/>
      <x:c r="T34" s="24" t="s">
        <x:v>857</x:v>
      </x:c>
      <x:c r="U34" s="24" t="s">
        <x:v>1399</x:v>
      </x:c>
    </x:row>
    <x:row r="35" ht="18" customHeight="1">
      <x:c r="A35" s="26">
        <x:v>364</x:v>
      </x:c>
      <x:c r="B35" s="24" t="s">
        <x:v>125</x:v>
      </x:c>
      <x:c r="C35" s="24" t="s">
        <x:v>125</x:v>
      </x:c>
      <x:c r="D35" s="24" t="s">
        <x:v>1491</x:v>
      </x:c>
      <x:c r="E35" s="24" t="s">
        <x:v>1441</x:v>
      </x:c>
      <x:c r="F35" s="24" t="s">
        <x:v>319</x:v>
      </x:c>
      <x:c r="G35" s="26">
        <x:v>55</x:v>
      </x:c>
      <x:c r="H35" s="26">
        <x:v>1961</x:v>
      </x:c>
      <x:c r="I35" s="26">
        <x:v>40</x:v>
      </x:c>
      <x:c r="J35" s="24" t="s">
        <x:v>975</x:v>
      </x:c>
      <x:c r="K35" s="24" t="s">
        <x:v>1492</x:v>
      </x:c>
      <x:c r="L35" s="26">
        <x:v>5</x:v>
      </x:c>
      <x:c r="M35" s="26">
        <x:v>2</x:v>
      </x:c>
      <x:c r="N35" s="26">
        <x:v>2</x:v>
      </x:c>
      <x:c r="O35" s="26">
        <x:v>2</x:v>
      </x:c>
      <x:c r="P35" s="26">
        <x:v>0</x:v>
      </x:c>
      <x:c r="Q35" s="27" t="s">
        <x:v>1494</x:v>
      </x:c>
      <x:c r="R35" s="26">
        <x:v>3052</x:v>
      </x:c>
      <x:c r="S35" s="27"/>
      <x:c r="T35" s="24" t="s">
        <x:v>857</x:v>
      </x:c>
      <x:c r="U35" s="24" t="s">
        <x:v>1399</x:v>
      </x:c>
    </x:row>
    <x:row r="36" ht="18" customHeight="1">
      <x:c r="A36" s="26">
        <x:v>365</x:v>
      </x:c>
      <x:c r="B36" s="24" t="s">
        <x:v>136</x:v>
      </x:c>
      <x:c r="C36" s="24" t="s">
        <x:v>136</x:v>
      </x:c>
      <x:c r="D36" s="24" t="s">
        <x:v>1491</x:v>
      </x:c>
      <x:c r="E36" s="24" t="s">
        <x:v>1406</x:v>
      </x:c>
      <x:c r="F36" s="24" t="s">
        <x:v>319</x:v>
      </x:c>
      <x:c r="G36" s="26">
        <x:v>55</x:v>
      </x:c>
      <x:c r="H36" s="26">
        <x:v>2523</x:v>
      </x:c>
      <x:c r="I36" s="26">
        <x:v>52</x:v>
      </x:c>
      <x:c r="J36" s="24" t="s">
        <x:v>1001</x:v>
      </x:c>
      <x:c r="K36" s="24" t="s">
        <x:v>1492</x:v>
      </x:c>
      <x:c r="L36" s="26">
        <x:v>5</x:v>
      </x:c>
      <x:c r="M36" s="26">
        <x:v>5</x:v>
      </x:c>
      <x:c r="N36" s="26">
        <x:v>5</x:v>
      </x:c>
      <x:c r="O36" s="26">
        <x:v>0</x:v>
      </x:c>
      <x:c r="P36" s="26">
        <x:v>0</x:v>
      </x:c>
      <x:c r="Q36" s="27" t="s">
        <x:v>1473</x:v>
      </x:c>
      <x:c r="R36" s="26">
        <x:v>3052</x:v>
      </x:c>
      <x:c r="S36" s="27"/>
      <x:c r="T36" s="24" t="s">
        <x:v>857</x:v>
      </x:c>
      <x:c r="U36" s="24" t="s">
        <x:v>1399</x:v>
      </x:c>
    </x:row>
    <x:row r="37" ht="18" customHeight="1">
      <x:c r="A37" s="26">
        <x:v>366</x:v>
      </x:c>
      <x:c r="B37" s="24" t="s">
        <x:v>96</x:v>
      </x:c>
      <x:c r="C37" s="24" t="s">
        <x:v>96</x:v>
      </x:c>
      <x:c r="D37" s="24" t="s">
        <x:v>1491</x:v>
      </x:c>
      <x:c r="E37" s="24" t="s">
        <x:v>1476</x:v>
      </x:c>
      <x:c r="F37" s="24" t="s">
        <x:v>319</x:v>
      </x:c>
      <x:c r="G37" s="26">
        <x:v>55</x:v>
      </x:c>
      <x:c r="H37" s="26">
        <x:v>1809</x:v>
      </x:c>
      <x:c r="I37" s="26">
        <x:v>51</x:v>
      </x:c>
      <x:c r="J37" s="24" t="s">
        <x:v>1001</x:v>
      </x:c>
      <x:c r="K37" s="24" t="s">
        <x:v>1492</x:v>
      </x:c>
      <x:c r="L37" s="26">
        <x:v>5</x:v>
      </x:c>
      <x:c r="M37" s="26">
        <x:v>5</x:v>
      </x:c>
      <x:c r="N37" s="26">
        <x:v>4</x:v>
      </x:c>
      <x:c r="O37" s="26">
        <x:v>0</x:v>
      </x:c>
      <x:c r="P37" s="26">
        <x:v>0</x:v>
      </x:c>
      <x:c r="Q37" s="27" t="s">
        <x:v>1495</x:v>
      </x:c>
      <x:c r="R37" s="26">
        <x:v>3052</x:v>
      </x:c>
      <x:c r="S37" s="27"/>
      <x:c r="T37" s="24" t="s">
        <x:v>857</x:v>
      </x:c>
      <x:c r="U37" s="24" t="s">
        <x:v>1399</x:v>
      </x:c>
    </x:row>
    <x:row r="38" ht="18" customHeight="1">
      <x:c r="A38" s="26">
        <x:v>369</x:v>
      </x:c>
      <x:c r="B38" s="24" t="s">
        <x:v>127</x:v>
      </x:c>
      <x:c r="C38" s="24" t="s">
        <x:v>127</x:v>
      </x:c>
      <x:c r="D38" s="24" t="s">
        <x:v>1491</x:v>
      </x:c>
      <x:c r="E38" s="24" t="s">
        <x:v>1444</x:v>
      </x:c>
      <x:c r="F38" s="24" t="s">
        <x:v>319</x:v>
      </x:c>
      <x:c r="G38" s="26">
        <x:v>55</x:v>
      </x:c>
      <x:c r="H38" s="26">
        <x:v>2268</x:v>
      </x:c>
      <x:c r="I38" s="26">
        <x:v>47</x:v>
      </x:c>
      <x:c r="J38" s="24" t="s">
        <x:v>1001</x:v>
      </x:c>
      <x:c r="K38" s="24" t="s">
        <x:v>1492</x:v>
      </x:c>
      <x:c r="L38" s="26">
        <x:v>5</x:v>
      </x:c>
      <x:c r="M38" s="26">
        <x:v>3</x:v>
      </x:c>
      <x:c r="N38" s="26">
        <x:v>3</x:v>
      </x:c>
      <x:c r="O38" s="26">
        <x:v>2</x:v>
      </x:c>
      <x:c r="P38" s="26">
        <x:v>0</x:v>
      </x:c>
      <x:c r="Q38" s="27" t="s">
        <x:v>1496</x:v>
      </x:c>
      <x:c r="R38" s="26">
        <x:v>3052</x:v>
      </x:c>
      <x:c r="S38" s="27"/>
      <x:c r="T38" s="24" t="s">
        <x:v>857</x:v>
      </x:c>
      <x:c r="U38" s="24" t="s">
        <x:v>1399</x:v>
      </x:c>
    </x:row>
    <x:row r="39" ht="18" customHeight="1">
      <x:c r="A39" s="26">
        <x:v>373</x:v>
      </x:c>
      <x:c r="B39" s="24" t="s">
        <x:v>364</x:v>
      </x:c>
      <x:c r="C39" s="24" t="s">
        <x:v>1497</x:v>
      </x:c>
      <x:c r="D39" s="24" t="s">
        <x:v>1498</x:v>
      </x:c>
      <x:c r="E39" s="24" t="s">
        <x:v>1499</x:v>
      </x:c>
      <x:c r="F39" s="24" t="s">
        <x:v>319</x:v>
      </x:c>
      <x:c r="G39" s="26">
        <x:v>45</x:v>
      </x:c>
      <x:c r="H39" s="26">
        <x:v>949</x:v>
      </x:c>
      <x:c r="I39" s="26">
        <x:v>26</x:v>
      </x:c>
      <x:c r="J39" s="24" t="s">
        <x:v>1253</x:v>
      </x:c>
      <x:c r="K39" s="24" t="s">
        <x:v>1500</x:v>
      </x:c>
      <x:c r="L39" s="26">
        <x:v>5</x:v>
      </x:c>
      <x:c r="M39" s="26">
        <x:v>2</x:v>
      </x:c>
      <x:c r="N39" s="26">
        <x:v>2</x:v>
      </x:c>
      <x:c r="O39" s="26">
        <x:v>0</x:v>
      </x:c>
      <x:c r="P39" s="26">
        <x:v>0</x:v>
      </x:c>
      <x:c r="Q39" s="27"/>
      <x:c r="R39" s="26">
        <x:v>2757</x:v>
      </x:c>
      <x:c r="S39" s="27"/>
      <x:c r="T39" s="24" t="s">
        <x:v>1398</x:v>
      </x:c>
      <x:c r="U39" s="24" t="s">
        <x:v>1399</x:v>
      </x:c>
    </x:row>
    <x:row r="40" ht="18" customHeight="1">
      <x:c r="A40" s="26">
        <x:v>377</x:v>
      </x:c>
      <x:c r="B40" s="24" t="s">
        <x:v>378</x:v>
      </x:c>
      <x:c r="C40" s="24" t="s">
        <x:v>1501</x:v>
      </x:c>
      <x:c r="D40" s="24" t="s">
        <x:v>1498</x:v>
      </x:c>
      <x:c r="E40" s="24" t="s">
        <x:v>1502</x:v>
      </x:c>
      <x:c r="F40" s="24" t="s">
        <x:v>319</x:v>
      </x:c>
      <x:c r="G40" s="26">
        <x:v>45</x:v>
      </x:c>
      <x:c r="H40" s="26">
        <x:v>1148</x:v>
      </x:c>
      <x:c r="I40" s="26">
        <x:v>30</x:v>
      </x:c>
      <x:c r="J40" s="24" t="s">
        <x:v>1253</x:v>
      </x:c>
      <x:c r="K40" s="24" t="s">
        <x:v>1500</x:v>
      </x:c>
      <x:c r="L40" s="26">
        <x:v>5</x:v>
      </x:c>
      <x:c r="M40" s="26">
        <x:v>3</x:v>
      </x:c>
      <x:c r="N40" s="26">
        <x:v>3</x:v>
      </x:c>
      <x:c r="O40" s="26">
        <x:v>2</x:v>
      </x:c>
      <x:c r="P40" s="26">
        <x:v>0</x:v>
      </x:c>
      <x:c r="Q40" s="27"/>
      <x:c r="R40" s="26">
        <x:v>3052</x:v>
      </x:c>
      <x:c r="S40" s="27"/>
      <x:c r="T40" s="24" t="s">
        <x:v>1398</x:v>
      </x:c>
      <x:c r="U40" s="24" t="s">
        <x:v>1399</x:v>
      </x:c>
    </x:row>
    <x:row r="41" ht="18" customHeight="1">
      <x:c r="A41" s="26">
        <x:v>423</x:v>
      </x:c>
      <x:c r="B41" s="24" t="s">
        <x:v>1503</x:v>
      </x:c>
      <x:c r="C41" s="24" t="s">
        <x:v>1504</x:v>
      </x:c>
      <x:c r="D41" s="24" t="s">
        <x:v>1505</x:v>
      </x:c>
      <x:c r="E41" s="24" t="s">
        <x:v>1506</x:v>
      </x:c>
      <x:c r="F41" s="24" t="s">
        <x:v>318</x:v>
      </x:c>
      <x:c r="G41" s="26">
        <x:v>65</x:v>
      </x:c>
      <x:c r="H41" s="26">
        <x:v>1480</x:v>
      </x:c>
      <x:c r="I41" s="26">
        <x:v>39</x:v>
      </x:c>
      <x:c r="J41" s="24" t="s">
        <x:v>975</x:v>
      </x:c>
      <x:c r="K41" s="24" t="s">
        <x:v>1507</x:v>
      </x:c>
      <x:c r="L41" s="26">
        <x:v>7</x:v>
      </x:c>
      <x:c r="M41" s="26">
        <x:v>2</x:v>
      </x:c>
      <x:c r="N41" s="26">
        <x:v>3</x:v>
      </x:c>
      <x:c r="O41" s="26">
        <x:v>2</x:v>
      </x:c>
      <x:c r="P41" s="26">
        <x:v>0</x:v>
      </x:c>
      <x:c r="Q41" s="27" t="s">
        <x:v>1508</x:v>
      </x:c>
      <x:c r="R41" s="26">
        <x:v>2735</x:v>
      </x:c>
      <x:c r="S41" s="27"/>
      <x:c r="T41" s="24" t="s">
        <x:v>1398</x:v>
      </x:c>
      <x:c r="U41" s="24" t="s">
        <x:v>1399</x:v>
      </x:c>
    </x:row>
    <x:row r="42" ht="18" customHeight="1">
      <x:c r="A42" s="26">
        <x:v>3857</x:v>
      </x:c>
      <x:c r="B42" s="24" t="s">
        <x:v>239</x:v>
      </x:c>
      <x:c r="C42" s="24" t="s">
        <x:v>1509</x:v>
      </x:c>
      <x:c r="D42" s="24" t="s">
        <x:v>239</x:v>
      </x:c>
      <x:c r="E42" s="24" t="s">
        <x:v>1435</x:v>
      </x:c>
      <x:c r="F42" s="24" t="s">
        <x:v>318</x:v>
      </x:c>
      <x:c r="G42" s="26">
        <x:v>70</x:v>
      </x:c>
      <x:c r="H42" s="26">
        <x:v>2308</x:v>
      </x:c>
      <x:c r="I42" s="26">
        <x:v>52</x:v>
      </x:c>
      <x:c r="J42" s="24" t="s">
        <x:v>975</x:v>
      </x:c>
      <x:c r="K42" s="24" t="s">
        <x:v>1507</x:v>
      </x:c>
      <x:c r="L42" s="26">
        <x:v>7</x:v>
      </x:c>
      <x:c r="M42" s="26">
        <x:v>3</x:v>
      </x:c>
      <x:c r="N42" s="26">
        <x:v>3</x:v>
      </x:c>
      <x:c r="O42" s="26">
        <x:v>1</x:v>
      </x:c>
      <x:c r="P42" s="26">
        <x:v>0</x:v>
      </x:c>
      <x:c r="Q42" s="27" t="s">
        <x:v>1510</x:v>
      </x:c>
      <x:c r="R42" s="26">
        <x:v>2973</x:v>
      </x:c>
      <x:c r="S42" s="27"/>
      <x:c r="T42" s="24" t="s">
        <x:v>857</x:v>
      </x:c>
      <x:c r="U42" s="24" t="s">
        <x:v>1399</x:v>
      </x:c>
    </x:row>
    <x:row r="43" ht="18" customHeight="1">
      <x:c r="A43" s="26">
        <x:v>455</x:v>
      </x:c>
      <x:c r="B43" s="24" t="s">
        <x:v>414</x:v>
      </x:c>
      <x:c r="C43" s="24" t="s">
        <x:v>1511</x:v>
      </x:c>
      <x:c r="D43" s="24" t="s">
        <x:v>1512</x:v>
      </x:c>
      <x:c r="E43" s="24" t="s">
        <x:v>1513</x:v>
      </x:c>
      <x:c r="F43" s="24" t="s">
        <x:v>318</x:v>
      </x:c>
      <x:c r="G43" s="26">
        <x:v>70</x:v>
      </x:c>
      <x:c r="H43" s="26">
        <x:v>1578</x:v>
      </x:c>
      <x:c r="I43" s="26">
        <x:v>34</x:v>
      </x:c>
      <x:c r="J43" s="24" t="s">
        <x:v>947</x:v>
      </x:c>
      <x:c r="K43" s="24" t="s">
        <x:v>1396</x:v>
      </x:c>
      <x:c r="L43" s="26">
        <x:v>6</x:v>
      </x:c>
      <x:c r="M43" s="26">
        <x:v>4</x:v>
      </x:c>
      <x:c r="N43" s="26">
        <x:v>4</x:v>
      </x:c>
      <x:c r="O43" s="26">
        <x:v>3</x:v>
      </x:c>
      <x:c r="P43" s="26">
        <x:v>0</x:v>
      </x:c>
      <x:c r="Q43" s="27" t="s">
        <x:v>1456</x:v>
      </x:c>
      <x:c r="R43" s="26">
        <x:v>3049</x:v>
      </x:c>
      <x:c r="S43" s="27"/>
      <x:c r="T43" s="24" t="s">
        <x:v>1398</x:v>
      </x:c>
      <x:c r="U43" s="24" t="s">
        <x:v>1399</x:v>
      </x:c>
    </x:row>
    <x:row r="44" ht="18" customHeight="1">
      <x:c r="A44" s="26">
        <x:v>478</x:v>
      </x:c>
      <x:c r="B44" s="24" t="s">
        <x:v>390</x:v>
      </x:c>
      <x:c r="C44" s="24" t="s">
        <x:v>1514</x:v>
      </x:c>
      <x:c r="D44" s="24" t="s">
        <x:v>1515</x:v>
      </x:c>
      <x:c r="E44" s="24" t="s">
        <x:v>1516</x:v>
      </x:c>
      <x:c r="F44" s="24" t="s">
        <x:v>318</x:v>
      </x:c>
      <x:c r="G44" s="26">
        <x:v>65</x:v>
      </x:c>
      <x:c r="H44" s="26">
        <x:v>1399</x:v>
      </x:c>
      <x:c r="I44" s="26">
        <x:v>32</x:v>
      </x:c>
      <x:c r="J44" s="24" t="s">
        <x:v>975</x:v>
      </x:c>
      <x:c r="K44" s="24" t="s">
        <x:v>1500</x:v>
      </x:c>
      <x:c r="L44" s="26">
        <x:v>5</x:v>
      </x:c>
      <x:c r="M44" s="26">
        <x:v>2</x:v>
      </x:c>
      <x:c r="N44" s="26">
        <x:v>3</x:v>
      </x:c>
      <x:c r="O44" s="26">
        <x:v>2</x:v>
      </x:c>
      <x:c r="P44" s="26">
        <x:v>0</x:v>
      </x:c>
      <x:c r="Q44" s="27" t="s">
        <x:v>1517</x:v>
      </x:c>
      <x:c r="R44" s="26">
        <x:v>2561</x:v>
      </x:c>
      <x:c r="S44" s="27"/>
      <x:c r="T44" s="24" t="s">
        <x:v>1398</x:v>
      </x:c>
      <x:c r="U44" s="24" t="s">
        <x:v>1399</x:v>
      </x:c>
    </x:row>
    <x:row r="45" ht="18" customHeight="1">
      <x:c r="A45" s="26">
        <x:v>480</x:v>
      </x:c>
      <x:c r="B45" s="24" t="s">
        <x:v>418</x:v>
      </x:c>
      <x:c r="C45" s="24" t="s">
        <x:v>1518</x:v>
      </x:c>
      <x:c r="D45" s="24" t="s">
        <x:v>1515</x:v>
      </x:c>
      <x:c r="E45" s="24" t="s">
        <x:v>1519</x:v>
      </x:c>
      <x:c r="F45" s="24" t="s">
        <x:v>318</x:v>
      </x:c>
      <x:c r="G45" s="26">
        <x:v>65</x:v>
      </x:c>
      <x:c r="H45" s="26">
        <x:v>1570</x:v>
      </x:c>
      <x:c r="I45" s="26">
        <x:v>37</x:v>
      </x:c>
      <x:c r="J45" s="24" t="s">
        <x:v>975</x:v>
      </x:c>
      <x:c r="K45" s="24" t="s">
        <x:v>1500</x:v>
      </x:c>
      <x:c r="L45" s="26">
        <x:v>6</x:v>
      </x:c>
      <x:c r="M45" s="26">
        <x:v>3</x:v>
      </x:c>
      <x:c r="N45" s="26">
        <x:v>4</x:v>
      </x:c>
      <x:c r="O45" s="26">
        <x:v>2</x:v>
      </x:c>
      <x:c r="P45" s="26">
        <x:v>0</x:v>
      </x:c>
      <x:c r="Q45" s="27" t="s">
        <x:v>1520</x:v>
      </x:c>
      <x:c r="R45" s="26">
        <x:v>2688</x:v>
      </x:c>
      <x:c r="S45" s="27"/>
      <x:c r="T45" s="24" t="s">
        <x:v>1398</x:v>
      </x:c>
      <x:c r="U45" s="24" t="s">
        <x:v>1399</x:v>
      </x:c>
    </x:row>
    <x:row r="46" ht="18" customHeight="1">
      <x:c r="A46" s="26">
        <x:v>481</x:v>
      </x:c>
      <x:c r="B46" s="24" t="s">
        <x:v>400</x:v>
      </x:c>
      <x:c r="C46" s="24" t="s">
        <x:v>1521</x:v>
      </x:c>
      <x:c r="D46" s="24" t="s">
        <x:v>1515</x:v>
      </x:c>
      <x:c r="E46" s="24" t="s">
        <x:v>1522</x:v>
      </x:c>
      <x:c r="F46" s="24" t="s">
        <x:v>318</x:v>
      </x:c>
      <x:c r="G46" s="26">
        <x:v>65</x:v>
      </x:c>
      <x:c r="H46" s="26">
        <x:v>1368</x:v>
      </x:c>
      <x:c r="I46" s="26">
        <x:v>38</x:v>
      </x:c>
      <x:c r="J46" s="24" t="s">
        <x:v>975</x:v>
      </x:c>
      <x:c r="K46" s="24" t="s">
        <x:v>1500</x:v>
      </x:c>
      <x:c r="L46" s="26">
        <x:v>5</x:v>
      </x:c>
      <x:c r="M46" s="26">
        <x:v>2</x:v>
      </x:c>
      <x:c r="N46" s="26">
        <x:v>2</x:v>
      </x:c>
      <x:c r="O46" s="26">
        <x:v>0</x:v>
      </x:c>
      <x:c r="P46" s="26">
        <x:v>0</x:v>
      </x:c>
      <x:c r="Q46" s="27" t="s">
        <x:v>1523</x:v>
      </x:c>
      <x:c r="R46" s="26">
        <x:v>3049</x:v>
      </x:c>
      <x:c r="S46" s="27"/>
      <x:c r="T46" s="24" t="s">
        <x:v>1398</x:v>
      </x:c>
      <x:c r="U46" s="24" t="s">
        <x:v>1399</x:v>
      </x:c>
    </x:row>
    <x:row r="47" ht="18" customHeight="1">
      <x:c r="A47" s="26">
        <x:v>490</x:v>
      </x:c>
      <x:c r="B47" s="24" t="s">
        <x:v>177</x:v>
      </x:c>
      <x:c r="C47" s="24" t="s">
        <x:v>1524</x:v>
      </x:c>
      <x:c r="D47" s="24" t="s">
        <x:v>1525</x:v>
      </x:c>
      <x:c r="E47" s="24" t="s">
        <x:v>1469</x:v>
      </x:c>
      <x:c r="F47" s="24" t="s">
        <x:v>318</x:v>
      </x:c>
      <x:c r="G47" s="26">
        <x:v>65</x:v>
      </x:c>
      <x:c r="H47" s="26">
        <x:v>2429</x:v>
      </x:c>
      <x:c r="I47" s="26">
        <x:v>41</x:v>
      </x:c>
      <x:c r="J47" s="24" t="s">
        <x:v>1001</x:v>
      </x:c>
      <x:c r="K47" s="24" t="s">
        <x:v>1507</x:v>
      </x:c>
      <x:c r="L47" s="26">
        <x:v>6</x:v>
      </x:c>
      <x:c r="M47" s="26">
        <x:v>4</x:v>
      </x:c>
      <x:c r="N47" s="26">
        <x:v>4</x:v>
      </x:c>
      <x:c r="O47" s="26">
        <x:v>2</x:v>
      </x:c>
      <x:c r="P47" s="26">
        <x:v>0</x:v>
      </x:c>
      <x:c r="Q47" s="27" t="s">
        <x:v>1526</x:v>
      </x:c>
      <x:c r="R47" s="26">
        <x:v>3049</x:v>
      </x:c>
      <x:c r="S47" s="27"/>
      <x:c r="T47" s="24" t="s">
        <x:v>857</x:v>
      </x:c>
      <x:c r="U47" s="24" t="s">
        <x:v>1399</x:v>
      </x:c>
    </x:row>
    <x:row r="48" ht="18" customHeight="1">
      <x:c r="A48" s="26">
        <x:v>491</x:v>
      </x:c>
      <x:c r="B48" s="24" t="s">
        <x:v>205</x:v>
      </x:c>
      <x:c r="C48" s="24" t="s">
        <x:v>1527</x:v>
      </x:c>
      <x:c r="D48" s="24" t="s">
        <x:v>1525</x:v>
      </x:c>
      <x:c r="E48" s="24" t="s">
        <x:v>1441</x:v>
      </x:c>
      <x:c r="F48" s="24" t="s">
        <x:v>318</x:v>
      </x:c>
      <x:c r="G48" s="26">
        <x:v>65</x:v>
      </x:c>
      <x:c r="H48" s="26">
        <x:v>2535</x:v>
      </x:c>
      <x:c r="I48" s="26">
        <x:v>47</x:v>
      </x:c>
      <x:c r="J48" s="24" t="s">
        <x:v>1253</x:v>
      </x:c>
      <x:c r="K48" s="24" t="s">
        <x:v>1507</x:v>
      </x:c>
      <x:c r="L48" s="26">
        <x:v>6</x:v>
      </x:c>
      <x:c r="M48" s="26">
        <x:v>4</x:v>
      </x:c>
      <x:c r="N48" s="26">
        <x:v>4</x:v>
      </x:c>
      <x:c r="O48" s="26">
        <x:v>3</x:v>
      </x:c>
      <x:c r="P48" s="26">
        <x:v>0</x:v>
      </x:c>
      <x:c r="Q48" s="27" t="s">
        <x:v>1528</x:v>
      </x:c>
      <x:c r="R48" s="26">
        <x:v>3049</x:v>
      </x:c>
      <x:c r="S48" s="27"/>
      <x:c r="T48" s="24" t="s">
        <x:v>857</x:v>
      </x:c>
      <x:c r="U48" s="24" t="s">
        <x:v>1399</x:v>
      </x:c>
    </x:row>
    <x:row r="49" ht="18" customHeight="1">
      <x:c r="A49" s="26">
        <x:v>492</x:v>
      </x:c>
      <x:c r="B49" s="24" t="s">
        <x:v>200</x:v>
      </x:c>
      <x:c r="C49" s="24" t="s">
        <x:v>1529</x:v>
      </x:c>
      <x:c r="D49" s="24" t="s">
        <x:v>1525</x:v>
      </x:c>
      <x:c r="E49" s="24" t="s">
        <x:v>1406</x:v>
      </x:c>
      <x:c r="F49" s="24" t="s">
        <x:v>318</x:v>
      </x:c>
      <x:c r="G49" s="26">
        <x:v>65</x:v>
      </x:c>
      <x:c r="H49" s="26">
        <x:v>1831</x:v>
      </x:c>
      <x:c r="I49" s="26">
        <x:v>43</x:v>
      </x:c>
      <x:c r="J49" s="24" t="s">
        <x:v>975</x:v>
      </x:c>
      <x:c r="K49" s="24" t="s">
        <x:v>1507</x:v>
      </x:c>
      <x:c r="L49" s="26">
        <x:v>6</x:v>
      </x:c>
      <x:c r="M49" s="26">
        <x:v>4</x:v>
      </x:c>
      <x:c r="N49" s="26">
        <x:v>4</x:v>
      </x:c>
      <x:c r="O49" s="26">
        <x:v>3</x:v>
      </x:c>
      <x:c r="P49" s="26">
        <x:v>0</x:v>
      </x:c>
      <x:c r="Q49" s="27" t="s">
        <x:v>1530</x:v>
      </x:c>
      <x:c r="R49" s="26">
        <x:v>3049</x:v>
      </x:c>
      <x:c r="S49" s="27"/>
      <x:c r="T49" s="24" t="s">
        <x:v>857</x:v>
      </x:c>
      <x:c r="U49" s="24" t="s">
        <x:v>1399</x:v>
      </x:c>
    </x:row>
    <x:row r="50" ht="18" customHeight="1">
      <x:c r="A50" s="26">
        <x:v>496</x:v>
      </x:c>
      <x:c r="B50" s="24" t="s">
        <x:v>187</x:v>
      </x:c>
      <x:c r="C50" s="24" t="s">
        <x:v>1531</x:v>
      </x:c>
      <x:c r="D50" s="24" t="s">
        <x:v>1525</x:v>
      </x:c>
      <x:c r="E50" s="24" t="s">
        <x:v>1444</x:v>
      </x:c>
      <x:c r="F50" s="24" t="s">
        <x:v>318</x:v>
      </x:c>
      <x:c r="G50" s="26">
        <x:v>65</x:v>
      </x:c>
      <x:c r="H50" s="26">
        <x:v>1952</x:v>
      </x:c>
      <x:c r="I50" s="26">
        <x:v>41</x:v>
      </x:c>
      <x:c r="J50" s="24" t="s">
        <x:v>1001</x:v>
      </x:c>
      <x:c r="K50" s="24" t="s">
        <x:v>1507</x:v>
      </x:c>
      <x:c r="L50" s="26">
        <x:v>6</x:v>
      </x:c>
      <x:c r="M50" s="26">
        <x:v>3</x:v>
      </x:c>
      <x:c r="N50" s="26">
        <x:v>4</x:v>
      </x:c>
      <x:c r="O50" s="26">
        <x:v>3</x:v>
      </x:c>
      <x:c r="P50" s="26">
        <x:v>0</x:v>
      </x:c>
      <x:c r="Q50" s="27" t="s">
        <x:v>1532</x:v>
      </x:c>
      <x:c r="R50" s="26">
        <x:v>3049</x:v>
      </x:c>
      <x:c r="S50" s="27"/>
      <x:c r="T50" s="24" t="s">
        <x:v>857</x:v>
      </x:c>
      <x:c r="U50" s="24" t="s">
        <x:v>1399</x:v>
      </x:c>
    </x:row>
    <x:row r="51" ht="18" customHeight="1">
      <x:c r="A51" s="26">
        <x:v>516</x:v>
      </x:c>
      <x:c r="B51" s="24" t="s">
        <x:v>365</x:v>
      </x:c>
      <x:c r="C51" s="24" t="s">
        <x:v>1533</x:v>
      </x:c>
      <x:c r="D51" s="24" t="s">
        <x:v>1534</x:v>
      </x:c>
      <x:c r="E51" s="24" t="s">
        <x:v>1535</x:v>
      </x:c>
      <x:c r="F51" s="24" t="s">
        <x:v>319</x:v>
      </x:c>
      <x:c r="G51" s="26">
        <x:v>50</x:v>
      </x:c>
      <x:c r="H51" s="26">
        <x:v>945</x:v>
      </x:c>
      <x:c r="I51" s="26">
        <x:v>28</x:v>
      </x:c>
      <x:c r="J51" s="24" t="s">
        <x:v>947</x:v>
      </x:c>
      <x:c r="K51" s="24" t="s">
        <x:v>1396</x:v>
      </x:c>
      <x:c r="L51" s="26">
        <x:v>5</x:v>
      </x:c>
      <x:c r="M51" s="26">
        <x:v>2</x:v>
      </x:c>
      <x:c r="N51" s="26">
        <x:v>3</x:v>
      </x:c>
      <x:c r="O51" s="26">
        <x:v>1</x:v>
      </x:c>
      <x:c r="P51" s="26">
        <x:v>0</x:v>
      </x:c>
      <x:c r="Q51" s="27" t="s">
        <x:v>1536</x:v>
      </x:c>
      <x:c r="R51" s="26">
        <x:v>2801</x:v>
      </x:c>
      <x:c r="S51" s="27"/>
      <x:c r="T51" s="24" t="s">
        <x:v>1398</x:v>
      </x:c>
      <x:c r="U51" s="24" t="s">
        <x:v>1399</x:v>
      </x:c>
    </x:row>
    <x:row r="52" ht="18" customHeight="1">
      <x:c r="A52" s="26">
        <x:v>547</x:v>
      </x:c>
      <x:c r="B52" s="24" t="s">
        <x:v>247</x:v>
      </x:c>
      <x:c r="C52" s="24" t="s">
        <x:v>247</x:v>
      </x:c>
      <x:c r="D52" s="24" t="s">
        <x:v>1537</x:v>
      </x:c>
      <x:c r="E52" s="24" t="s">
        <x:v>1406</x:v>
      </x:c>
      <x:c r="F52" s="24" t="s">
        <x:v>318</x:v>
      </x:c>
      <x:c r="G52" s="26">
        <x:v>60</x:v>
      </x:c>
      <x:c r="H52" s="26">
        <x:v>2191</x:v>
      </x:c>
      <x:c r="I52" s="26">
        <x:v>40</x:v>
      </x:c>
      <x:c r="J52" s="24" t="s">
        <x:v>1001</x:v>
      </x:c>
      <x:c r="K52" s="24" t="s">
        <x:v>1470</x:v>
      </x:c>
      <x:c r="L52" s="26">
        <x:v>6</x:v>
      </x:c>
      <x:c r="M52" s="26">
        <x:v>4</x:v>
      </x:c>
      <x:c r="N52" s="26">
        <x:v>4</x:v>
      </x:c>
      <x:c r="O52" s="26">
        <x:v>1</x:v>
      </x:c>
      <x:c r="P52" s="26">
        <x:v>0</x:v>
      </x:c>
      <x:c r="Q52" s="27" t="s">
        <x:v>1463</x:v>
      </x:c>
      <x:c r="R52" s="26">
        <x:v>2867</x:v>
      </x:c>
      <x:c r="S52" s="27"/>
      <x:c r="T52" s="24" t="s">
        <x:v>857</x:v>
      </x:c>
      <x:c r="U52" s="24" t="s">
        <x:v>1399</x:v>
      </x:c>
    </x:row>
    <x:row r="53" ht="18" customHeight="1">
      <x:c r="A53" s="26">
        <x:v>548</x:v>
      </x:c>
      <x:c r="B53" s="24" t="s">
        <x:v>399</x:v>
      </x:c>
      <x:c r="C53" s="24" t="s">
        <x:v>1538</x:v>
      </x:c>
      <x:c r="D53" s="24" t="s">
        <x:v>1537</x:v>
      </x:c>
      <x:c r="E53" s="24" t="s">
        <x:v>1539</x:v>
      </x:c>
      <x:c r="F53" s="24" t="s">
        <x:v>318</x:v>
      </x:c>
      <x:c r="G53" s="26">
        <x:v>60</x:v>
      </x:c>
      <x:c r="H53" s="26">
        <x:v>1233</x:v>
      </x:c>
      <x:c r="I53" s="26">
        <x:v>34</x:v>
      </x:c>
      <x:c r="J53" s="24" t="s">
        <x:v>1001</x:v>
      </x:c>
      <x:c r="K53" s="24" t="s">
        <x:v>1507</x:v>
      </x:c>
      <x:c r="L53" s="26">
        <x:v>5</x:v>
      </x:c>
      <x:c r="M53" s="26">
        <x:v>3</x:v>
      </x:c>
      <x:c r="N53" s="26">
        <x:v>3</x:v>
      </x:c>
      <x:c r="O53" s="26">
        <x:v>1</x:v>
      </x:c>
      <x:c r="P53" s="26">
        <x:v>0</x:v>
      </x:c>
      <x:c r="Q53" s="27" t="s">
        <x:v>1540</x:v>
      </x:c>
      <x:c r="R53" s="26">
        <x:v>2602</x:v>
      </x:c>
      <x:c r="S53" s="27"/>
      <x:c r="T53" s="24" t="s">
        <x:v>1398</x:v>
      </x:c>
      <x:c r="U53" s="24" t="s">
        <x:v>1399</x:v>
      </x:c>
    </x:row>
    <x:row r="54" ht="18" customHeight="1">
      <x:c r="A54" s="26">
        <x:v>552</x:v>
      </x:c>
      <x:c r="B54" s="24" t="s">
        <x:v>407</x:v>
      </x:c>
      <x:c r="C54" s="24" t="s">
        <x:v>1541</x:v>
      </x:c>
      <x:c r="D54" s="24" t="s">
        <x:v>1537</x:v>
      </x:c>
      <x:c r="E54" s="24" t="s">
        <x:v>1542</x:v>
      </x:c>
      <x:c r="F54" s="24" t="s">
        <x:v>318</x:v>
      </x:c>
      <x:c r="G54" s="26">
        <x:v>60</x:v>
      </x:c>
      <x:c r="H54" s="26">
        <x:v>1400</x:v>
      </x:c>
      <x:c r="I54" s="26">
        <x:v>34</x:v>
      </x:c>
      <x:c r="J54" s="24" t="s">
        <x:v>1001</x:v>
      </x:c>
      <x:c r="K54" s="24" t="s">
        <x:v>1507</x:v>
      </x:c>
      <x:c r="L54" s="26">
        <x:v>4</x:v>
      </x:c>
      <x:c r="M54" s="26">
        <x:v>4</x:v>
      </x:c>
      <x:c r="N54" s="26">
        <x:v>4</x:v>
      </x:c>
      <x:c r="O54" s="26">
        <x:v>1</x:v>
      </x:c>
      <x:c r="P54" s="26">
        <x:v>0</x:v>
      </x:c>
      <x:c r="Q54" s="27" t="s">
        <x:v>1540</x:v>
      </x:c>
      <x:c r="R54" s="26">
        <x:v>3052</x:v>
      </x:c>
      <x:c r="S54" s="27"/>
      <x:c r="T54" s="24" t="s">
        <x:v>1398</x:v>
      </x:c>
      <x:c r="U54" s="24" t="s">
        <x:v>1399</x:v>
      </x:c>
    </x:row>
    <x:row r="55" ht="18" customHeight="1">
      <x:c r="A55" s="26">
        <x:v>559</x:v>
      </x:c>
      <x:c r="B55" s="24" t="s">
        <x:v>427</x:v>
      </x:c>
      <x:c r="C55" s="24" t="s">
        <x:v>1543</x:v>
      </x:c>
      <x:c r="D55" s="24" t="s">
        <x:v>1544</x:v>
      </x:c>
      <x:c r="E55" s="24" t="s">
        <x:v>1545</x:v>
      </x:c>
      <x:c r="F55" s="24" t="s">
        <x:v>324</x:v>
      </x:c>
      <x:c r="G55" s="26">
        <x:v>80</x:v>
      </x:c>
      <x:c r="H55" s="26">
        <x:v>981</x:v>
      </x:c>
      <x:c r="I55" s="26">
        <x:v>18</x:v>
      </x:c>
      <x:c r="J55" s="24" t="s">
        <x:v>1411</x:v>
      </x:c>
      <x:c r="K55" s="24" t="s">
        <x:v>1507</x:v>
      </x:c>
      <x:c r="L55" s="26">
        <x:v>5</x:v>
      </x:c>
      <x:c r="M55" s="26">
        <x:v>2</x:v>
      </x:c>
      <x:c r="N55" s="26">
        <x:v>0</x:v>
      </x:c>
      <x:c r="O55" s="26">
        <x:v>0</x:v>
      </x:c>
      <x:c r="P55" s="26">
        <x:v>0</x:v>
      </x:c>
      <x:c r="Q55" s="27" t="s">
        <x:v>1432</x:v>
      </x:c>
      <x:c r="R55" s="26">
        <x:v>2665</x:v>
      </x:c>
      <x:c r="S55" s="27"/>
      <x:c r="T55" s="24" t="s">
        <x:v>1398</x:v>
      </x:c>
      <x:c r="U55" s="24" t="s">
        <x:v>1399</x:v>
      </x:c>
    </x:row>
    <x:row r="56" ht="18" customHeight="1">
      <x:c r="A56" s="26">
        <x:v>591</x:v>
      </x:c>
      <x:c r="B56" s="24" t="s">
        <x:v>362</x:v>
      </x:c>
      <x:c r="C56" s="24" t="s">
        <x:v>1546</x:v>
      </x:c>
      <x:c r="D56" s="24" t="s">
        <x:v>1547</x:v>
      </x:c>
      <x:c r="E56" s="24" t="s">
        <x:v>1548</x:v>
      </x:c>
      <x:c r="F56" s="24" t="s">
        <x:v>319</x:v>
      </x:c>
      <x:c r="G56" s="26">
        <x:v>40</x:v>
      </x:c>
      <x:c r="H56" s="26">
        <x:v>659</x:v>
      </x:c>
      <x:c r="I56" s="26">
        <x:v>22</x:v>
      </x:c>
      <x:c r="J56" s="24" t="s">
        <x:v>1411</x:v>
      </x:c>
      <x:c r="K56" s="24" t="s">
        <x:v>1549</x:v>
      </x:c>
      <x:c r="L56" s="26">
        <x:v>2</x:v>
      </x:c>
      <x:c r="M56" s="26">
        <x:v>2</x:v>
      </x:c>
      <x:c r="N56" s="26">
        <x:v>1</x:v>
      </x:c>
      <x:c r="O56" s="26">
        <x:v>0</x:v>
      </x:c>
      <x:c r="P56" s="26">
        <x:v>0</x:v>
      </x:c>
      <x:c r="Q56" s="27" t="s">
        <x:v>1432</x:v>
      </x:c>
      <x:c r="R56" s="26">
        <x:v>2740</x:v>
      </x:c>
      <x:c r="S56" s="27"/>
      <x:c r="T56" s="24" t="s">
        <x:v>1398</x:v>
      </x:c>
      <x:c r="U56" s="24" t="s">
        <x:v>1399</x:v>
      </x:c>
    </x:row>
    <x:row r="57" ht="18" customHeight="1">
      <x:c r="A57" s="26">
        <x:v>644</x:v>
      </x:c>
      <x:c r="B57" s="24" t="s">
        <x:v>367</x:v>
      </x:c>
      <x:c r="C57" s="24" t="s">
        <x:v>1550</x:v>
      </x:c>
      <x:c r="D57" s="24" t="s">
        <x:v>1551</x:v>
      </x:c>
      <x:c r="E57" s="24" t="s">
        <x:v>1552</x:v>
      </x:c>
      <x:c r="F57" s="24" t="s">
        <x:v>319</x:v>
      </x:c>
      <x:c r="G57" s="26">
        <x:v>40</x:v>
      </x:c>
      <x:c r="H57" s="26">
        <x:v>770</x:v>
      </x:c>
      <x:c r="I57" s="26">
        <x:v>21</x:v>
      </x:c>
      <x:c r="J57" s="24" t="s">
        <x:v>334</x:v>
      </x:c>
      <x:c r="K57" s="24" t="s">
        <x:v>1553</x:v>
      </x:c>
      <x:c r="L57" s="26">
        <x:v>2</x:v>
      </x:c>
      <x:c r="M57" s="26">
        <x:v>2</x:v>
      </x:c>
      <x:c r="N57" s="26">
        <x:v>2</x:v>
      </x:c>
      <x:c r="O57" s="26">
        <x:v>1</x:v>
      </x:c>
      <x:c r="P57" s="26">
        <x:v>0</x:v>
      </x:c>
      <x:c r="Q57" s="27"/>
      <x:c r="R57" s="26">
        <x:v>2608</x:v>
      </x:c>
      <x:c r="S57" s="27"/>
      <x:c r="T57" s="24" t="s">
        <x:v>1398</x:v>
      </x:c>
      <x:c r="U57" s="24" t="s">
        <x:v>1399</x:v>
      </x:c>
    </x:row>
    <x:row r="58" ht="18" customHeight="1">
      <x:c r="A58" s="26">
        <x:v>646</x:v>
      </x:c>
      <x:c r="B58" s="24" t="s">
        <x:v>366</x:v>
      </x:c>
      <x:c r="C58" s="24" t="s">
        <x:v>1554</x:v>
      </x:c>
      <x:c r="D58" s="24" t="s">
        <x:v>1551</x:v>
      </x:c>
      <x:c r="E58" s="24" t="s">
        <x:v>1555</x:v>
      </x:c>
      <x:c r="F58" s="24" t="s">
        <x:v>319</x:v>
      </x:c>
      <x:c r="G58" s="26">
        <x:v>40</x:v>
      </x:c>
      <x:c r="H58" s="26">
        <x:v>1081</x:v>
      </x:c>
      <x:c r="I58" s="26">
        <x:v>22</x:v>
      </x:c>
      <x:c r="J58" s="24" t="s">
        <x:v>334</x:v>
      </x:c>
      <x:c r="K58" s="24" t="s">
        <x:v>1553</x:v>
      </x:c>
      <x:c r="L58" s="26">
        <x:v>2</x:v>
      </x:c>
      <x:c r="M58" s="26">
        <x:v>2</x:v>
      </x:c>
      <x:c r="N58" s="26">
        <x:v>2</x:v>
      </x:c>
      <x:c r="O58" s="26">
        <x:v>1</x:v>
      </x:c>
      <x:c r="P58" s="26">
        <x:v>0</x:v>
      </x:c>
      <x:c r="Q58" s="27" t="s">
        <x:v>1432</x:v>
      </x:c>
      <x:c r="R58" s="26">
        <x:v>3050</x:v>
      </x:c>
      <x:c r="S58" s="27"/>
      <x:c r="T58" s="24" t="s">
        <x:v>1398</x:v>
      </x:c>
      <x:c r="U58" s="24" t="s">
        <x:v>1399</x:v>
      </x:c>
    </x:row>
    <x:row r="59" ht="18" customHeight="1">
      <x:c r="A59" s="26">
        <x:v>716</x:v>
      </x:c>
      <x:c r="B59" s="24" t="s">
        <x:v>1556</x:v>
      </x:c>
      <x:c r="C59" s="24" t="s">
        <x:v>1557</x:v>
      </x:c>
      <x:c r="D59" s="24" t="s">
        <x:v>1558</x:v>
      </x:c>
      <x:c r="E59" s="24" t="s">
        <x:v>1559</x:v>
      </x:c>
      <x:c r="F59" s="24" t="s">
        <x:v>319</x:v>
      </x:c>
      <x:c r="G59" s="26">
        <x:v>50</x:v>
      </x:c>
      <x:c r="H59" s="26">
        <x:v>1198</x:v>
      </x:c>
      <x:c r="I59" s="26">
        <x:v>29</x:v>
      </x:c>
      <x:c r="J59" s="24" t="s">
        <x:v>1001</x:v>
      </x:c>
      <x:c r="K59" s="24" t="s">
        <x:v>1507</x:v>
      </x:c>
      <x:c r="L59" s="26">
        <x:v>5</x:v>
      </x:c>
      <x:c r="M59" s="26">
        <x:v>3</x:v>
      </x:c>
      <x:c r="N59" s="26">
        <x:v>2</x:v>
      </x:c>
      <x:c r="O59" s="26">
        <x:v>0</x:v>
      </x:c>
      <x:c r="P59" s="26">
        <x:v>0</x:v>
      </x:c>
      <x:c r="Q59" s="27" t="s">
        <x:v>1432</x:v>
      </x:c>
      <x:c r="R59" s="26">
        <x:v>2719</x:v>
      </x:c>
      <x:c r="S59" s="27"/>
      <x:c r="T59" s="24" t="s">
        <x:v>1398</x:v>
      </x:c>
      <x:c r="U59" s="24" t="s">
        <x:v>1399</x:v>
      </x:c>
    </x:row>
    <x:row r="60" ht="18" customHeight="1">
      <x:c r="A60" s="26">
        <x:v>717</x:v>
      </x:c>
      <x:c r="B60" s="24" t="s">
        <x:v>153</x:v>
      </x:c>
      <x:c r="C60" s="24" t="s">
        <x:v>1560</x:v>
      </x:c>
      <x:c r="D60" s="24" t="s">
        <x:v>1558</x:v>
      </x:c>
      <x:c r="E60" s="24" t="s">
        <x:v>1561</x:v>
      </x:c>
      <x:c r="F60" s="24" t="s">
        <x:v>319</x:v>
      </x:c>
      <x:c r="G60" s="26">
        <x:v>50</x:v>
      </x:c>
      <x:c r="H60" s="26">
        <x:v>1308</x:v>
      </x:c>
      <x:c r="I60" s="26">
        <x:v>33</x:v>
      </x:c>
      <x:c r="J60" s="24" t="s">
        <x:v>1253</x:v>
      </x:c>
      <x:c r="K60" s="24" t="s">
        <x:v>1507</x:v>
      </x:c>
      <x:c r="L60" s="26">
        <x:v>5</x:v>
      </x:c>
      <x:c r="M60" s="26">
        <x:v>3</x:v>
      </x:c>
      <x:c r="N60" s="26">
        <x:v>3</x:v>
      </x:c>
      <x:c r="O60" s="26">
        <x:v>2</x:v>
      </x:c>
      <x:c r="P60" s="26">
        <x:v>0</x:v>
      </x:c>
      <x:c r="Q60" s="27" t="s">
        <x:v>1432</x:v>
      </x:c>
      <x:c r="R60" s="26">
        <x:v>2719</x:v>
      </x:c>
      <x:c r="S60" s="27"/>
      <x:c r="T60" s="24" t="s">
        <x:v>1398</x:v>
      </x:c>
      <x:c r="U60" s="24" t="s">
        <x:v>1399</x:v>
      </x:c>
    </x:row>
    <x:row r="61" ht="18" customHeight="1">
      <x:c r="A61" s="26">
        <x:v>725</x:v>
      </x:c>
      <x:c r="B61" s="24" t="s">
        <x:v>424</x:v>
      </x:c>
      <x:c r="C61" s="24" t="s">
        <x:v>1562</x:v>
      </x:c>
      <x:c r="D61" s="24" t="s">
        <x:v>1563</x:v>
      </x:c>
      <x:c r="E61" s="24" t="s">
        <x:v>1564</x:v>
      </x:c>
      <x:c r="F61" s="24" t="s">
        <x:v>324</x:v>
      </x:c>
      <x:c r="G61" s="26">
        <x:v>85</x:v>
      </x:c>
      <x:c r="H61" s="26">
        <x:v>1923</x:v>
      </x:c>
      <x:c r="I61" s="26">
        <x:v>46</x:v>
      </x:c>
      <x:c r="J61" s="24" t="s">
        <x:v>1253</x:v>
      </x:c>
      <x:c r="K61" s="24" t="s">
        <x:v>1459</x:v>
      </x:c>
      <x:c r="L61" s="26">
        <x:v>9</x:v>
      </x:c>
      <x:c r="M61" s="26">
        <x:v>4</x:v>
      </x:c>
      <x:c r="N61" s="26">
        <x:v>4</x:v>
      </x:c>
      <x:c r="O61" s="26">
        <x:v>3</x:v>
      </x:c>
      <x:c r="P61" s="26">
        <x:v>0</x:v>
      </x:c>
      <x:c r="Q61" s="27" t="s">
        <x:v>1565</x:v>
      </x:c>
      <x:c r="R61" s="26">
        <x:v>2735</x:v>
      </x:c>
      <x:c r="S61" s="27"/>
      <x:c r="T61" s="24" t="s">
        <x:v>1398</x:v>
      </x:c>
      <x:c r="U61" s="24" t="s">
        <x:v>1399</x:v>
      </x:c>
    </x:row>
    <x:row r="62" ht="18" customHeight="1">
      <x:c r="A62" s="26">
        <x:v>730</x:v>
      </x:c>
      <x:c r="B62" s="24" t="s">
        <x:v>186</x:v>
      </x:c>
      <x:c r="C62" s="24" t="s">
        <x:v>186</x:v>
      </x:c>
      <x:c r="D62" s="24" t="s">
        <x:v>1566</x:v>
      </x:c>
      <x:c r="E62" s="24" t="s">
        <x:v>1469</x:v>
      </x:c>
      <x:c r="F62" s="24" t="s">
        <x:v>318</x:v>
      </x:c>
      <x:c r="G62" s="26">
        <x:v>65</x:v>
      </x:c>
      <x:c r="H62" s="26">
        <x:v>1797</x:v>
      </x:c>
      <x:c r="I62" s="26">
        <x:v>45</x:v>
      </x:c>
      <x:c r="J62" s="24" t="s">
        <x:v>1001</x:v>
      </x:c>
      <x:c r="K62" s="24" t="s">
        <x:v>1507</x:v>
      </x:c>
      <x:c r="L62" s="26">
        <x:v>6</x:v>
      </x:c>
      <x:c r="M62" s="26">
        <x:v>5</x:v>
      </x:c>
      <x:c r="N62" s="26">
        <x:v>5</x:v>
      </x:c>
      <x:c r="O62" s="26">
        <x:v>1</x:v>
      </x:c>
      <x:c r="P62" s="26">
        <x:v>0</x:v>
      </x:c>
      <x:c r="Q62" s="27" t="s">
        <x:v>1567</x:v>
      </x:c>
      <x:c r="R62" s="26">
        <x:v>2870</x:v>
      </x:c>
      <x:c r="S62" s="27"/>
      <x:c r="T62" s="24" t="s">
        <x:v>857</x:v>
      </x:c>
      <x:c r="U62" s="24" t="s">
        <x:v>1399</x:v>
      </x:c>
    </x:row>
    <x:row r="63" ht="18" customHeight="1">
      <x:c r="A63" s="26">
        <x:v>731</x:v>
      </x:c>
      <x:c r="B63" s="24" t="s">
        <x:v>215</x:v>
      </x:c>
      <x:c r="C63" s="24" t="s">
        <x:v>215</x:v>
      </x:c>
      <x:c r="D63" s="24" t="s">
        <x:v>1566</x:v>
      </x:c>
      <x:c r="E63" s="24" t="s">
        <x:v>1441</x:v>
      </x:c>
      <x:c r="F63" s="24" t="s">
        <x:v>318</x:v>
      </x:c>
      <x:c r="G63" s="26">
        <x:v>65</x:v>
      </x:c>
      <x:c r="H63" s="26">
        <x:v>1687</x:v>
      </x:c>
      <x:c r="I63" s="26">
        <x:v>43</x:v>
      </x:c>
      <x:c r="J63" s="24" t="s">
        <x:v>1001</x:v>
      </x:c>
      <x:c r="K63" s="24" t="s">
        <x:v>1507</x:v>
      </x:c>
      <x:c r="L63" s="26">
        <x:v>6</x:v>
      </x:c>
      <x:c r="M63" s="26">
        <x:v>5</x:v>
      </x:c>
      <x:c r="N63" s="26">
        <x:v>5</x:v>
      </x:c>
      <x:c r="O63" s="26">
        <x:v>0</x:v>
      </x:c>
      <x:c r="P63" s="26">
        <x:v>0</x:v>
      </x:c>
      <x:c r="Q63" s="27" t="s">
        <x:v>1473</x:v>
      </x:c>
      <x:c r="R63" s="26">
        <x:v>2870</x:v>
      </x:c>
      <x:c r="S63" s="27"/>
      <x:c r="T63" s="24" t="s">
        <x:v>857</x:v>
      </x:c>
      <x:c r="U63" s="24" t="s">
        <x:v>1399</x:v>
      </x:c>
    </x:row>
    <x:row r="64" ht="18" customHeight="1">
      <x:c r="A64" s="26">
        <x:v>739</x:v>
      </x:c>
      <x:c r="B64" s="24" t="s">
        <x:v>179</x:v>
      </x:c>
      <x:c r="C64" s="24" t="s">
        <x:v>179</x:v>
      </x:c>
      <x:c r="D64" s="24" t="s">
        <x:v>1566</x:v>
      </x:c>
      <x:c r="E64" s="24" t="s">
        <x:v>1444</x:v>
      </x:c>
      <x:c r="F64" s="24" t="s">
        <x:v>318</x:v>
      </x:c>
      <x:c r="G64" s="26">
        <x:v>65</x:v>
      </x:c>
      <x:c r="H64" s="26">
        <x:v>1829</x:v>
      </x:c>
      <x:c r="I64" s="26">
        <x:v>46</x:v>
      </x:c>
      <x:c r="J64" s="24" t="s">
        <x:v>975</x:v>
      </x:c>
      <x:c r="K64" s="24" t="s">
        <x:v>1507</x:v>
      </x:c>
      <x:c r="L64" s="26">
        <x:v>6</x:v>
      </x:c>
      <x:c r="M64" s="26">
        <x:v>4</x:v>
      </x:c>
      <x:c r="N64" s="26">
        <x:v>4</x:v>
      </x:c>
      <x:c r="O64" s="26">
        <x:v>4</x:v>
      </x:c>
      <x:c r="P64" s="26">
        <x:v>0</x:v>
      </x:c>
      <x:c r="Q64" s="27" t="s">
        <x:v>1568</x:v>
      </x:c>
      <x:c r="R64" s="26">
        <x:v>2870</x:v>
      </x:c>
      <x:c r="S64" s="27"/>
      <x:c r="T64" s="24" t="s">
        <x:v>857</x:v>
      </x:c>
      <x:c r="U64" s="24" t="s">
        <x:v>1399</x:v>
      </x:c>
    </x:row>
    <x:row r="65" ht="18" customHeight="1">
      <x:c r="A65" s="26">
        <x:v>748</x:v>
      </x:c>
      <x:c r="B65" s="24" t="s">
        <x:v>241</x:v>
      </x:c>
      <x:c r="C65" s="24" t="s">
        <x:v>1569</x:v>
      </x:c>
      <x:c r="D65" s="24" t="s">
        <x:v>1570</x:v>
      </x:c>
      <x:c r="E65" s="24" t="s">
        <x:v>1571</x:v>
      </x:c>
      <x:c r="F65" s="24" t="s">
        <x:v>318</x:v>
      </x:c>
      <x:c r="G65" s="26">
        <x:v>65</x:v>
      </x:c>
      <x:c r="H65" s="26">
        <x:v>1533</x:v>
      </x:c>
      <x:c r="I65" s="26">
        <x:v>38</x:v>
      </x:c>
      <x:c r="J65" s="24" t="s">
        <x:v>975</x:v>
      </x:c>
      <x:c r="K65" s="24" t="s">
        <x:v>1396</x:v>
      </x:c>
      <x:c r="L65" s="26">
        <x:v>6</x:v>
      </x:c>
      <x:c r="M65" s="26">
        <x:v>4</x:v>
      </x:c>
      <x:c r="N65" s="26">
        <x:v>4</x:v>
      </x:c>
      <x:c r="O65" s="26">
        <x:v>2</x:v>
      </x:c>
      <x:c r="P65" s="26">
        <x:v>0</x:v>
      </x:c>
      <x:c r="Q65" s="27" t="s">
        <x:v>1572</x:v>
      </x:c>
      <x:c r="R65" s="26">
        <x:v>2649</x:v>
      </x:c>
      <x:c r="S65" s="27"/>
      <x:c r="T65" s="24" t="s">
        <x:v>1398</x:v>
      </x:c>
      <x:c r="U65" s="24" t="s">
        <x:v>1399</x:v>
      </x:c>
    </x:row>
    <x:row r="66" ht="18" customHeight="1">
      <x:c r="A66" s="26">
        <x:v>752</x:v>
      </x:c>
      <x:c r="B66" s="24" t="s">
        <x:v>415</x:v>
      </x:c>
      <x:c r="C66" s="24" t="s">
        <x:v>1573</x:v>
      </x:c>
      <x:c r="D66" s="24" t="s">
        <x:v>1570</x:v>
      </x:c>
      <x:c r="E66" s="24" t="s">
        <x:v>1574</x:v>
      </x:c>
      <x:c r="F66" s="24" t="s">
        <x:v>318</x:v>
      </x:c>
      <x:c r="G66" s="26">
        <x:v>65</x:v>
      </x:c>
      <x:c r="H66" s="26">
        <x:v>1317</x:v>
      </x:c>
      <x:c r="I66" s="26">
        <x:v>32</x:v>
      </x:c>
      <x:c r="J66" s="24" t="s">
        <x:v>975</x:v>
      </x:c>
      <x:c r="K66" s="24" t="s">
        <x:v>1396</x:v>
      </x:c>
      <x:c r="L66" s="26">
        <x:v>6</x:v>
      </x:c>
      <x:c r="M66" s="26">
        <x:v>2</x:v>
      </x:c>
      <x:c r="N66" s="26">
        <x:v>2</x:v>
      </x:c>
      <x:c r="O66" s="26">
        <x:v>2</x:v>
      </x:c>
      <x:c r="P66" s="26">
        <x:v>0</x:v>
      </x:c>
      <x:c r="Q66" s="27" t="s">
        <x:v>1575</x:v>
      </x:c>
      <x:c r="R66" s="26">
        <x:v>2752</x:v>
      </x:c>
      <x:c r="S66" s="27"/>
      <x:c r="T66" s="24" t="s">
        <x:v>1398</x:v>
      </x:c>
      <x:c r="U66" s="24" t="s">
        <x:v>1399</x:v>
      </x:c>
    </x:row>
    <x:row r="67" ht="18" customHeight="1">
      <x:c r="A67" s="26">
        <x:v>772</x:v>
      </x:c>
      <x:c r="B67" s="24" t="s">
        <x:v>421</x:v>
      </x:c>
      <x:c r="C67" s="24" t="s">
        <x:v>1576</x:v>
      </x:c>
      <x:c r="D67" s="24" t="s">
        <x:v>1577</x:v>
      </x:c>
      <x:c r="E67" s="24" t="s">
        <x:v>1578</x:v>
      </x:c>
      <x:c r="F67" s="24" t="s">
        <x:v>324</x:v>
      </x:c>
      <x:c r="G67" s="26">
        <x:v>90</x:v>
      </x:c>
      <x:c r="H67" s="26">
        <x:v>1317</x:v>
      </x:c>
      <x:c r="I67" s="26">
        <x:v>34</x:v>
      </x:c>
      <x:c r="J67" s="24" t="s">
        <x:v>928</x:v>
      </x:c>
      <x:c r="K67" s="24" t="s">
        <x:v>1396</x:v>
      </x:c>
      <x:c r="L67" s="26">
        <x:v>5</x:v>
      </x:c>
      <x:c r="M67" s="26">
        <x:v>3</x:v>
      </x:c>
      <x:c r="N67" s="26">
        <x:v>3</x:v>
      </x:c>
      <x:c r="O67" s="26">
        <x:v>1</x:v>
      </x:c>
      <x:c r="P67" s="26">
        <x:v>0</x:v>
      </x:c>
      <x:c r="Q67" s="27" t="s">
        <x:v>1579</x:v>
      </x:c>
      <x:c r="R67" s="26">
        <x:v>2710</x:v>
      </x:c>
      <x:c r="S67" s="27"/>
      <x:c r="T67" s="24" t="s">
        <x:v>1398</x:v>
      </x:c>
      <x:c r="U67" s="24" t="s">
        <x:v>1399</x:v>
      </x:c>
    </x:row>
    <x:row r="68" ht="18" customHeight="1">
      <x:c r="A68" s="26">
        <x:v>773</x:v>
      </x:c>
      <x:c r="B68" s="24" t="s">
        <x:v>428</x:v>
      </x:c>
      <x:c r="C68" s="24" t="s">
        <x:v>1580</x:v>
      </x:c>
      <x:c r="D68" s="24" t="s">
        <x:v>1577</x:v>
      </x:c>
      <x:c r="E68" s="24" t="s">
        <x:v>1581</x:v>
      </x:c>
      <x:c r="F68" s="24" t="s">
        <x:v>324</x:v>
      </x:c>
      <x:c r="G68" s="26">
        <x:v>90</x:v>
      </x:c>
      <x:c r="H68" s="26">
        <x:v>1547</x:v>
      </x:c>
      <x:c r="I68" s="26">
        <x:v>38</x:v>
      </x:c>
      <x:c r="J68" s="24" t="s">
        <x:v>1253</x:v>
      </x:c>
      <x:c r="K68" s="24" t="s">
        <x:v>1396</x:v>
      </x:c>
      <x:c r="L68" s="26">
        <x:v>5</x:v>
      </x:c>
      <x:c r="M68" s="26">
        <x:v>4</x:v>
      </x:c>
      <x:c r="N68" s="26">
        <x:v>4</x:v>
      </x:c>
      <x:c r="O68" s="26">
        <x:v>3</x:v>
      </x:c>
      <x:c r="P68" s="26">
        <x:v>0</x:v>
      </x:c>
      <x:c r="Q68" s="27" t="s">
        <x:v>1575</x:v>
      </x:c>
      <x:c r="R68" s="26">
        <x:v>3045</x:v>
      </x:c>
      <x:c r="S68" s="27"/>
      <x:c r="T68" s="24" t="s">
        <x:v>1398</x:v>
      </x:c>
      <x:c r="U68" s="24" t="s">
        <x:v>1399</x:v>
      </x:c>
    </x:row>
    <x:row r="69" ht="18" customHeight="1">
      <x:c r="A69" s="26">
        <x:v>813</x:v>
      </x:c>
      <x:c r="B69" s="24" t="s">
        <x:v>254</x:v>
      </x:c>
      <x:c r="C69" s="24" t="s">
        <x:v>1582</x:v>
      </x:c>
      <x:c r="D69" s="24" t="s">
        <x:v>1583</x:v>
      </x:c>
      <x:c r="E69" s="24" t="s">
        <x:v>1469</x:v>
      </x:c>
      <x:c r="F69" s="24" t="s">
        <x:v>324</x:v>
      </x:c>
      <x:c r="G69" s="26">
        <x:v>100</x:v>
      </x:c>
      <x:c r="H69" s="26">
        <x:v>2855</x:v>
      </x:c>
      <x:c r="I69" s="26">
        <x:v>59</x:v>
      </x:c>
      <x:c r="J69" s="24" t="s">
        <x:v>928</x:v>
      </x:c>
      <x:c r="K69" s="24" t="s">
        <x:v>1419</x:v>
      </x:c>
      <x:c r="L69" s="26">
        <x:v>10</x:v>
      </x:c>
      <x:c r="M69" s="26">
        <x:v>7</x:v>
      </x:c>
      <x:c r="N69" s="26">
        <x:v>8</x:v>
      </x:c>
      <x:c r="O69" s="26">
        <x:v>5</x:v>
      </x:c>
      <x:c r="P69" s="26">
        <x:v>0</x:v>
      </x:c>
      <x:c r="Q69" s="27" t="s">
        <x:v>1471</x:v>
      </x:c>
      <x:c r="R69" s="26">
        <x:v>3010</x:v>
      </x:c>
      <x:c r="S69" s="27"/>
      <x:c r="T69" s="24" t="s">
        <x:v>857</x:v>
      </x:c>
      <x:c r="U69" s="24" t="s">
        <x:v>1399</x:v>
      </x:c>
    </x:row>
    <x:row r="70" ht="18" customHeight="1">
      <x:c r="A70" s="26">
        <x:v>814</x:v>
      </x:c>
      <x:c r="B70" s="24" t="s">
        <x:v>271</x:v>
      </x:c>
      <x:c r="C70" s="24" t="s">
        <x:v>1584</x:v>
      </x:c>
      <x:c r="D70" s="24" t="s">
        <x:v>1583</x:v>
      </x:c>
      <x:c r="E70" s="24" t="s">
        <x:v>1441</x:v>
      </x:c>
      <x:c r="F70" s="24" t="s">
        <x:v>324</x:v>
      </x:c>
      <x:c r="G70" s="26">
        <x:v>100</x:v>
      </x:c>
      <x:c r="H70" s="26">
        <x:v>2609</x:v>
      </x:c>
      <x:c r="I70" s="26">
        <x:v>51</x:v>
      </x:c>
      <x:c r="J70" s="24" t="s">
        <x:v>1253</x:v>
      </x:c>
      <x:c r="K70" s="24" t="s">
        <x:v>1419</x:v>
      </x:c>
      <x:c r="L70" s="26">
        <x:v>10</x:v>
      </x:c>
      <x:c r="M70" s="26">
        <x:v>5</x:v>
      </x:c>
      <x:c r="N70" s="26">
        <x:v>5</x:v>
      </x:c>
      <x:c r="O70" s="26">
        <x:v>4</x:v>
      </x:c>
      <x:c r="P70" s="26">
        <x:v>0</x:v>
      </x:c>
      <x:c r="Q70" s="27" t="s">
        <x:v>1585</x:v>
      </x:c>
      <x:c r="R70" s="26">
        <x:v>3010</x:v>
      </x:c>
      <x:c r="S70" s="27"/>
      <x:c r="T70" s="24" t="s">
        <x:v>857</x:v>
      </x:c>
      <x:c r="U70" s="24" t="s">
        <x:v>1399</x:v>
      </x:c>
    </x:row>
    <x:row r="71" ht="18" customHeight="1">
      <x:c r="A71" s="26">
        <x:v>818</x:v>
      </x:c>
      <x:c r="B71" s="24" t="s">
        <x:v>255</x:v>
      </x:c>
      <x:c r="C71" s="24" t="s">
        <x:v>1586</x:v>
      </x:c>
      <x:c r="D71" s="24" t="s">
        <x:v>1583</x:v>
      </x:c>
      <x:c r="E71" s="24" t="s">
        <x:v>1444</x:v>
      </x:c>
      <x:c r="F71" s="24" t="s">
        <x:v>324</x:v>
      </x:c>
      <x:c r="G71" s="26">
        <x:v>100</x:v>
      </x:c>
      <x:c r="H71" s="26">
        <x:v>2712</x:v>
      </x:c>
      <x:c r="I71" s="26">
        <x:v>56</x:v>
      </x:c>
      <x:c r="J71" s="24" t="s">
        <x:v>928</x:v>
      </x:c>
      <x:c r="K71" s="24" t="s">
        <x:v>1419</x:v>
      </x:c>
      <x:c r="L71" s="26">
        <x:v>10</x:v>
      </x:c>
      <x:c r="M71" s="26">
        <x:v>6</x:v>
      </x:c>
      <x:c r="N71" s="26">
        <x:v>6</x:v>
      </x:c>
      <x:c r="O71" s="26">
        <x:v>4</x:v>
      </x:c>
      <x:c r="P71" s="26">
        <x:v>0</x:v>
      </x:c>
      <x:c r="Q71" s="27" t="s">
        <x:v>1587</x:v>
      </x:c>
      <x:c r="R71" s="26">
        <x:v>3010</x:v>
      </x:c>
      <x:c r="S71" s="27"/>
      <x:c r="T71" s="24" t="s">
        <x:v>857</x:v>
      </x:c>
      <x:c r="U71" s="24" t="s">
        <x:v>1399</x:v>
      </x:c>
    </x:row>
    <x:row r="72" ht="18" customHeight="1">
      <x:c r="A72" s="26">
        <x:v>819</x:v>
      </x:c>
      <x:c r="B72" s="24" t="s">
        <x:v>260</x:v>
      </x:c>
      <x:c r="C72" s="24" t="s">
        <x:v>1588</x:v>
      </x:c>
      <x:c r="D72" s="24" t="s">
        <x:v>1583</x:v>
      </x:c>
      <x:c r="E72" s="24" t="s">
        <x:v>1480</x:v>
      </x:c>
      <x:c r="F72" s="24" t="s">
        <x:v>324</x:v>
      </x:c>
      <x:c r="G72" s="26">
        <x:v>100</x:v>
      </x:c>
      <x:c r="H72" s="26">
        <x:v>2985</x:v>
      </x:c>
      <x:c r="I72" s="26">
        <x:v>58</x:v>
      </x:c>
      <x:c r="J72" s="24" t="s">
        <x:v>928</x:v>
      </x:c>
      <x:c r="K72" s="24" t="s">
        <x:v>1459</x:v>
      </x:c>
      <x:c r="L72" s="26">
        <x:v>10</x:v>
      </x:c>
      <x:c r="M72" s="26">
        <x:v>9</x:v>
      </x:c>
      <x:c r="N72" s="26">
        <x:v>8</x:v>
      </x:c>
      <x:c r="O72" s="26">
        <x:v>2</x:v>
      </x:c>
      <x:c r="P72" s="26">
        <x:v>0</x:v>
      </x:c>
      <x:c r="Q72" s="27" t="s">
        <x:v>1589</x:v>
      </x:c>
      <x:c r="R72" s="26">
        <x:v>3050</x:v>
      </x:c>
      <x:c r="S72" s="27"/>
      <x:c r="T72" s="24" t="s">
        <x:v>857</x:v>
      </x:c>
      <x:c r="U72" s="24" t="s">
        <x:v>1399</x:v>
      </x:c>
    </x:row>
    <x:row r="73" ht="18" customHeight="1">
      <x:c r="A73" s="26">
        <x:v>821</x:v>
      </x:c>
      <x:c r="B73" s="24" t="s">
        <x:v>262</x:v>
      </x:c>
      <x:c r="C73" s="24" t="s">
        <x:v>1590</x:v>
      </x:c>
      <x:c r="D73" s="24" t="s">
        <x:v>1583</x:v>
      </x:c>
      <x:c r="E73" s="24" t="s">
        <x:v>1591</x:v>
      </x:c>
      <x:c r="F73" s="24" t="s">
        <x:v>324</x:v>
      </x:c>
      <x:c r="G73" s="26">
        <x:v>100</x:v>
      </x:c>
      <x:c r="H73" s="26">
        <x:v>2951</x:v>
      </x:c>
      <x:c r="I73" s="26">
        <x:v>59</x:v>
      </x:c>
      <x:c r="J73" s="24" t="s">
        <x:v>928</x:v>
      </x:c>
      <x:c r="K73" s="24" t="s">
        <x:v>1419</x:v>
      </x:c>
      <x:c r="L73" s="26">
        <x:v>10</x:v>
      </x:c>
      <x:c r="M73" s="26">
        <x:v>8</x:v>
      </x:c>
      <x:c r="N73" s="26">
        <x:v>8</x:v>
      </x:c>
      <x:c r="O73" s="26">
        <x:v>4</x:v>
      </x:c>
      <x:c r="P73" s="26">
        <x:v>0</x:v>
      </x:c>
      <x:c r="Q73" s="27" t="s">
        <x:v>1592</x:v>
      </x:c>
      <x:c r="R73" s="26">
        <x:v>3049</x:v>
      </x:c>
      <x:c r="S73" s="27"/>
      <x:c r="T73" s="24" t="s">
        <x:v>857</x:v>
      </x:c>
      <x:c r="U73" s="24" t="s">
        <x:v>1399</x:v>
      </x:c>
    </x:row>
    <x:row r="74" ht="18" customHeight="1">
      <x:c r="A74" s="26">
        <x:v>838</x:v>
      </x:c>
      <x:c r="B74" s="24" t="s">
        <x:v>53</x:v>
      </x:c>
      <x:c r="C74" s="24" t="s">
        <x:v>1593</x:v>
      </x:c>
      <x:c r="D74" s="24" t="s">
        <x:v>1594</x:v>
      </x:c>
      <x:c r="E74" s="24" t="s">
        <x:v>1469</x:v>
      </x:c>
      <x:c r="F74" s="24" t="s">
        <x:v>317</x:v>
      </x:c>
      <x:c r="G74" s="26">
        <x:v>20</x:v>
      </x:c>
      <x:c r="H74" s="26">
        <x:v>639</x:v>
      </x:c>
      <x:c r="I74" s="26">
        <x:v>20</x:v>
      </x:c>
      <x:c r="J74" s="24" t="s">
        <x:v>1411</x:v>
      </x:c>
      <x:c r="K74" s="24" t="s">
        <x:v>1595</x:v>
      </x:c>
      <x:c r="L74" s="26">
        <x:v>1</x:v>
      </x:c>
      <x:c r="M74" s="26">
        <x:v>1</x:v>
      </x:c>
      <x:c r="N74" s="26">
        <x:v>1</x:v>
      </x:c>
      <x:c r="O74" s="26">
        <x:v>0</x:v>
      </x:c>
      <x:c r="P74" s="26">
        <x:v>0</x:v>
      </x:c>
      <x:c r="Q74" s="27" t="s">
        <x:v>1596</x:v>
      </x:c>
      <x:c r="R74" s="26">
        <x:v>2874</x:v>
      </x:c>
      <x:c r="S74" s="27"/>
      <x:c r="T74" s="24" t="s">
        <x:v>857</x:v>
      </x:c>
      <x:c r="U74" s="24" t="s">
        <x:v>1399</x:v>
      </x:c>
    </x:row>
    <x:row r="75" ht="18" customHeight="1">
      <x:c r="A75" s="26">
        <x:v>839</x:v>
      </x:c>
      <x:c r="B75" s="24" t="s">
        <x:v>33</x:v>
      </x:c>
      <x:c r="C75" s="24" t="s">
        <x:v>1597</x:v>
      </x:c>
      <x:c r="D75" s="24" t="s">
        <x:v>1594</x:v>
      </x:c>
      <x:c r="E75" s="24" t="s">
        <x:v>1441</x:v>
      </x:c>
      <x:c r="F75" s="24" t="s">
        <x:v>317</x:v>
      </x:c>
      <x:c r="G75" s="26">
        <x:v>20</x:v>
      </x:c>
      <x:c r="H75" s="26">
        <x:v>1064</x:v>
      </x:c>
      <x:c r="I75" s="26">
        <x:v>24</x:v>
      </x:c>
      <x:c r="J75" s="24" t="s">
        <x:v>334</x:v>
      </x:c>
      <x:c r="K75" s="24" t="s">
        <x:v>1595</x:v>
      </x:c>
      <x:c r="L75" s="26">
        <x:v>1</x:v>
      </x:c>
      <x:c r="M75" s="26">
        <x:v>2</x:v>
      </x:c>
      <x:c r="N75" s="26">
        <x:v>2</x:v>
      </x:c>
      <x:c r="O75" s="26">
        <x:v>0</x:v>
      </x:c>
      <x:c r="P75" s="26">
        <x:v>0</x:v>
      </x:c>
      <x:c r="Q75" s="27" t="s">
        <x:v>1598</x:v>
      </x:c>
      <x:c r="R75" s="26">
        <x:v>2874</x:v>
      </x:c>
      <x:c r="S75" s="27"/>
      <x:c r="T75" s="24" t="s">
        <x:v>857</x:v>
      </x:c>
      <x:c r="U75" s="24" t="s">
        <x:v>1399</x:v>
      </x:c>
    </x:row>
    <x:row r="76" ht="18" customHeight="1">
      <x:c r="A76" s="26">
        <x:v>841</x:v>
      </x:c>
      <x:c r="B76" s="24" t="s">
        <x:v>58</x:v>
      </x:c>
      <x:c r="C76" s="24" t="s">
        <x:v>1599</x:v>
      </x:c>
      <x:c r="D76" s="24" t="s">
        <x:v>1594</x:v>
      </x:c>
      <x:c r="E76" s="24" t="s">
        <x:v>1476</x:v>
      </x:c>
      <x:c r="F76" s="24" t="s">
        <x:v>317</x:v>
      </x:c>
      <x:c r="G76" s="26">
        <x:v>20</x:v>
      </x:c>
      <x:c r="H76" s="26">
        <x:v>2307</x:v>
      </x:c>
      <x:c r="I76" s="26">
        <x:v>30</x:v>
      </x:c>
      <x:c r="J76" s="24" t="s">
        <x:v>334</x:v>
      </x:c>
      <x:c r="K76" s="24" t="s">
        <x:v>1595</x:v>
      </x:c>
      <x:c r="L76" s="26">
        <x:v>1</x:v>
      </x:c>
      <x:c r="M76" s="26">
        <x:v>4</x:v>
      </x:c>
      <x:c r="N76" s="26">
        <x:v>3</x:v>
      </x:c>
      <x:c r="O76" s="26">
        <x:v>0</x:v>
      </x:c>
      <x:c r="P76" s="26">
        <x:v>0</x:v>
      </x:c>
      <x:c r="Q76" s="27" t="s">
        <x:v>1443</x:v>
      </x:c>
      <x:c r="R76" s="26">
        <x:v>2874</x:v>
      </x:c>
      <x:c r="S76" s="27"/>
      <x:c r="T76" s="24" t="s">
        <x:v>857</x:v>
      </x:c>
      <x:c r="U76" s="24" t="s">
        <x:v>1399</x:v>
      </x:c>
    </x:row>
    <x:row r="77" ht="18" customHeight="1">
      <x:c r="A77" s="26">
        <x:v>846</x:v>
      </x:c>
      <x:c r="B77" s="24" t="s">
        <x:v>28</x:v>
      </x:c>
      <x:c r="C77" s="24" t="s">
        <x:v>1600</x:v>
      </x:c>
      <x:c r="D77" s="24" t="s">
        <x:v>1594</x:v>
      </x:c>
      <x:c r="E77" s="24" t="s">
        <x:v>1444</x:v>
      </x:c>
      <x:c r="F77" s="24" t="s">
        <x:v>317</x:v>
      </x:c>
      <x:c r="G77" s="26">
        <x:v>20</x:v>
      </x:c>
      <x:c r="H77" s="26">
        <x:v>1251</x:v>
      </x:c>
      <x:c r="I77" s="26">
        <x:v>28</x:v>
      </x:c>
      <x:c r="J77" s="24" t="s">
        <x:v>334</x:v>
      </x:c>
      <x:c r="K77" s="24" t="s">
        <x:v>1595</x:v>
      </x:c>
      <x:c r="L77" s="26">
        <x:v>1</x:v>
      </x:c>
      <x:c r="M77" s="26">
        <x:v>3</x:v>
      </x:c>
      <x:c r="N77" s="26">
        <x:v>3</x:v>
      </x:c>
      <x:c r="O77" s="26">
        <x:v>0</x:v>
      </x:c>
      <x:c r="P77" s="26">
        <x:v>0</x:v>
      </x:c>
      <x:c r="Q77" s="27" t="s">
        <x:v>1601</x:v>
      </x:c>
      <x:c r="R77" s="26">
        <x:v>2874</x:v>
      </x:c>
      <x:c r="S77" s="27"/>
      <x:c r="T77" s="24" t="s">
        <x:v>857</x:v>
      </x:c>
      <x:c r="U77" s="24" t="s">
        <x:v>1399</x:v>
      </x:c>
    </x:row>
    <x:row r="78" ht="18" customHeight="1">
      <x:c r="A78" s="26">
        <x:v>878</x:v>
      </x:c>
      <x:c r="B78" s="24" t="s">
        <x:v>384</x:v>
      </x:c>
      <x:c r="C78" s="24" t="s">
        <x:v>1602</x:v>
      </x:c>
      <x:c r="D78" s="24" t="s">
        <x:v>1603</x:v>
      </x:c>
      <x:c r="E78" s="24" t="s">
        <x:v>1604</x:v>
      </x:c>
      <x:c r="F78" s="24" t="s">
        <x:v>319</x:v>
      </x:c>
      <x:c r="G78" s="26">
        <x:v>55</x:v>
      </x:c>
      <x:c r="H78" s="26">
        <x:v>1146</x:v>
      </x:c>
      <x:c r="I78" s="26">
        <x:v>30</x:v>
      </x:c>
      <x:c r="J78" s="24" t="s">
        <x:v>975</x:v>
      </x:c>
      <x:c r="K78" s="24" t="s">
        <x:v>1470</x:v>
      </x:c>
      <x:c r="L78" s="26">
        <x:v>4</x:v>
      </x:c>
      <x:c r="M78" s="26">
        <x:v>2</x:v>
      </x:c>
      <x:c r="N78" s="26">
        <x:v>2</x:v>
      </x:c>
      <x:c r="O78" s="26">
        <x:v>2</x:v>
      </x:c>
      <x:c r="P78" s="26">
        <x:v>0</x:v>
      </x:c>
      <x:c r="Q78" s="27" t="s">
        <x:v>1575</x:v>
      </x:c>
      <x:c r="R78" s="26">
        <x:v>2610</x:v>
      </x:c>
      <x:c r="S78" s="27"/>
      <x:c r="T78" s="24" t="s">
        <x:v>1398</x:v>
      </x:c>
      <x:c r="U78" s="24" t="s">
        <x:v>1399</x:v>
      </x:c>
    </x:row>
    <x:row r="79" ht="18" customHeight="1">
      <x:c r="A79" s="26">
        <x:v>917</x:v>
      </x:c>
      <x:c r="B79" s="24" t="s">
        <x:v>132</x:v>
      </x:c>
      <x:c r="C79" s="24" t="s">
        <x:v>1605</x:v>
      </x:c>
      <x:c r="D79" s="24" t="s">
        <x:v>1606</x:v>
      </x:c>
      <x:c r="E79" s="24" t="s">
        <x:v>1469</x:v>
      </x:c>
      <x:c r="F79" s="24" t="s">
        <x:v>319</x:v>
      </x:c>
      <x:c r="G79" s="26">
        <x:v>40</x:v>
      </x:c>
      <x:c r="H79" s="26">
        <x:v>1989</x:v>
      </x:c>
      <x:c r="I79" s="26">
        <x:v>38</x:v>
      </x:c>
      <x:c r="J79" s="24" t="s">
        <x:v>334</x:v>
      </x:c>
      <x:c r="K79" s="24" t="s">
        <x:v>1607</x:v>
      </x:c>
      <x:c r="L79" s="26">
        <x:v>4</x:v>
      </x:c>
      <x:c r="M79" s="26">
        <x:v>3</x:v>
      </x:c>
      <x:c r="N79" s="26">
        <x:v>3</x:v>
      </x:c>
      <x:c r="O79" s="26">
        <x:v>0</x:v>
      </x:c>
      <x:c r="P79" s="26">
        <x:v>0</x:v>
      </x:c>
      <x:c r="Q79" s="27" t="s">
        <x:v>1473</x:v>
      </x:c>
      <x:c r="R79" s="26">
        <x:v>2940</x:v>
      </x:c>
      <x:c r="S79" s="27"/>
      <x:c r="T79" s="24" t="s">
        <x:v>857</x:v>
      </x:c>
      <x:c r="U79" s="24" t="s">
        <x:v>1399</x:v>
      </x:c>
    </x:row>
    <x:row r="80" ht="18" customHeight="1">
      <x:c r="A80" s="26">
        <x:v>918</x:v>
      </x:c>
      <x:c r="B80" s="24" t="s">
        <x:v>117</x:v>
      </x:c>
      <x:c r="C80" s="24" t="s">
        <x:v>1608</x:v>
      </x:c>
      <x:c r="D80" s="24" t="s">
        <x:v>1606</x:v>
      </x:c>
      <x:c r="E80" s="24" t="s">
        <x:v>1441</x:v>
      </x:c>
      <x:c r="F80" s="24" t="s">
        <x:v>319</x:v>
      </x:c>
      <x:c r="G80" s="26">
        <x:v>40</x:v>
      </x:c>
      <x:c r="H80" s="26">
        <x:v>1830</x:v>
      </x:c>
      <x:c r="I80" s="26">
        <x:v>34</x:v>
      </x:c>
      <x:c r="J80" s="24" t="s">
        <x:v>334</x:v>
      </x:c>
      <x:c r="K80" s="24" t="s">
        <x:v>1607</x:v>
      </x:c>
      <x:c r="L80" s="26">
        <x:v>4</x:v>
      </x:c>
      <x:c r="M80" s="26">
        <x:v>2</x:v>
      </x:c>
      <x:c r="N80" s="26">
        <x:v>2</x:v>
      </x:c>
      <x:c r="O80" s="26">
        <x:v>2</x:v>
      </x:c>
      <x:c r="P80" s="26">
        <x:v>0</x:v>
      </x:c>
      <x:c r="Q80" s="27" t="s">
        <x:v>1443</x:v>
      </x:c>
      <x:c r="R80" s="26">
        <x:v>2940</x:v>
      </x:c>
      <x:c r="S80" s="27"/>
      <x:c r="T80" s="24" t="s">
        <x:v>857</x:v>
      </x:c>
      <x:c r="U80" s="24" t="s">
        <x:v>1399</x:v>
      </x:c>
    </x:row>
    <x:row r="81" ht="18" customHeight="1">
      <x:c r="A81" s="26">
        <x:v>919</x:v>
      </x:c>
      <x:c r="B81" s="24" t="s">
        <x:v>94</x:v>
      </x:c>
      <x:c r="C81" s="24" t="s">
        <x:v>1609</x:v>
      </x:c>
      <x:c r="D81" s="24" t="s">
        <x:v>1606</x:v>
      </x:c>
      <x:c r="E81" s="24" t="s">
        <x:v>1406</x:v>
      </x:c>
      <x:c r="F81" s="24" t="s">
        <x:v>319</x:v>
      </x:c>
      <x:c r="G81" s="26">
        <x:v>40</x:v>
      </x:c>
      <x:c r="H81" s="26">
        <x:v>1344</x:v>
      </x:c>
      <x:c r="I81" s="26">
        <x:v>36</x:v>
      </x:c>
      <x:c r="J81" s="24" t="s">
        <x:v>334</x:v>
      </x:c>
      <x:c r="K81" s="24" t="s">
        <x:v>1607</x:v>
      </x:c>
      <x:c r="L81" s="26">
        <x:v>4</x:v>
      </x:c>
      <x:c r="M81" s="26">
        <x:v>3</x:v>
      </x:c>
      <x:c r="N81" s="26">
        <x:v>2</x:v>
      </x:c>
      <x:c r="O81" s="26">
        <x:v>0</x:v>
      </x:c>
      <x:c r="P81" s="26">
        <x:v>0</x:v>
      </x:c>
      <x:c r="Q81" s="27" t="s">
        <x:v>1610</x:v>
      </x:c>
      <x:c r="R81" s="26">
        <x:v>2940</x:v>
      </x:c>
      <x:c r="S81" s="27"/>
      <x:c r="T81" s="24" t="s">
        <x:v>857</x:v>
      </x:c>
      <x:c r="U81" s="24" t="s">
        <x:v>1399</x:v>
      </x:c>
    </x:row>
    <x:row r="82" ht="18" customHeight="1">
      <x:c r="A82" s="26">
        <x:v>920</x:v>
      </x:c>
      <x:c r="B82" s="24" t="s">
        <x:v>103</x:v>
      </x:c>
      <x:c r="C82" s="24" t="s">
        <x:v>1611</x:v>
      </x:c>
      <x:c r="D82" s="24" t="s">
        <x:v>1606</x:v>
      </x:c>
      <x:c r="E82" s="24" t="s">
        <x:v>1476</x:v>
      </x:c>
      <x:c r="F82" s="24" t="s">
        <x:v>319</x:v>
      </x:c>
      <x:c r="G82" s="26">
        <x:v>40</x:v>
      </x:c>
      <x:c r="H82" s="26">
        <x:v>1779</x:v>
      </x:c>
      <x:c r="I82" s="26">
        <x:v>42</x:v>
      </x:c>
      <x:c r="J82" s="24" t="s">
        <x:v>334</x:v>
      </x:c>
      <x:c r="K82" s="24" t="s">
        <x:v>1607</x:v>
      </x:c>
      <x:c r="L82" s="26">
        <x:v>4</x:v>
      </x:c>
      <x:c r="M82" s="26">
        <x:v>4</x:v>
      </x:c>
      <x:c r="N82" s="26">
        <x:v>4</x:v>
      </x:c>
      <x:c r="O82" s="26">
        <x:v>0</x:v>
      </x:c>
      <x:c r="P82" s="26">
        <x:v>0</x:v>
      </x:c>
      <x:c r="Q82" s="27" t="s">
        <x:v>1612</x:v>
      </x:c>
      <x:c r="R82" s="26">
        <x:v>2940</x:v>
      </x:c>
      <x:c r="S82" s="27"/>
      <x:c r="T82" s="24" t="s">
        <x:v>857</x:v>
      </x:c>
      <x:c r="U82" s="24" t="s">
        <x:v>1399</x:v>
      </x:c>
    </x:row>
    <x:row r="83" ht="18" customHeight="1">
      <x:c r="A83" s="26">
        <x:v>926</x:v>
      </x:c>
      <x:c r="B83" s="24" t="s">
        <x:v>97</x:v>
      </x:c>
      <x:c r="C83" s="24" t="s">
        <x:v>1613</x:v>
      </x:c>
      <x:c r="D83" s="24" t="s">
        <x:v>1606</x:v>
      </x:c>
      <x:c r="E83" s="24" t="s">
        <x:v>1444</x:v>
      </x:c>
      <x:c r="F83" s="24" t="s">
        <x:v>319</x:v>
      </x:c>
      <x:c r="G83" s="26">
        <x:v>40</x:v>
      </x:c>
      <x:c r="H83" s="26">
        <x:v>1450</x:v>
      </x:c>
      <x:c r="I83" s="26">
        <x:v>37</x:v>
      </x:c>
      <x:c r="J83" s="24" t="s">
        <x:v>1411</x:v>
      </x:c>
      <x:c r="K83" s="24" t="s">
        <x:v>1607</x:v>
      </x:c>
      <x:c r="L83" s="26">
        <x:v>4</x:v>
      </x:c>
      <x:c r="M83" s="26">
        <x:v>3</x:v>
      </x:c>
      <x:c r="N83" s="26">
        <x:v>3</x:v>
      </x:c>
      <x:c r="O83" s="26">
        <x:v>0</x:v>
      </x:c>
      <x:c r="P83" s="26">
        <x:v>0</x:v>
      </x:c>
      <x:c r="Q83" s="27" t="s">
        <x:v>1471</x:v>
      </x:c>
      <x:c r="R83" s="26">
        <x:v>2940</x:v>
      </x:c>
      <x:c r="S83" s="27"/>
      <x:c r="T83" s="24" t="s">
        <x:v>857</x:v>
      </x:c>
      <x:c r="U83" s="24" t="s">
        <x:v>1399</x:v>
      </x:c>
    </x:row>
    <x:row r="84" ht="18" customHeight="1">
      <x:c r="A84" s="26">
        <x:v>964</x:v>
      </x:c>
      <x:c r="B84" s="24" t="s">
        <x:v>301</x:v>
      </x:c>
      <x:c r="C84" s="24" t="s">
        <x:v>1614</x:v>
      </x:c>
      <x:c r="D84" s="24" t="s">
        <x:v>1615</x:v>
      </x:c>
      <x:c r="E84" s="24" t="s">
        <x:v>1616</x:v>
      </x:c>
      <x:c r="F84" s="24" t="s">
        <x:v>324</x:v>
      </x:c>
      <x:c r="G84" s="26">
        <x:v>90</x:v>
      </x:c>
      <x:c r="H84" s="26">
        <x:v>1969</x:v>
      </x:c>
      <x:c r="I84" s="26">
        <x:v>42</x:v>
      </x:c>
      <x:c r="J84" s="24" t="s">
        <x:v>928</x:v>
      </x:c>
      <x:c r="K84" s="24" t="s">
        <x:v>1459</x:v>
      </x:c>
      <x:c r="L84" s="26">
        <x:v>9</x:v>
      </x:c>
      <x:c r="M84" s="26">
        <x:v>4</x:v>
      </x:c>
      <x:c r="N84" s="26">
        <x:v>4</x:v>
      </x:c>
      <x:c r="O84" s="26">
        <x:v>2</x:v>
      </x:c>
      <x:c r="P84" s="26">
        <x:v>0</x:v>
      </x:c>
      <x:c r="Q84" s="27" t="s">
        <x:v>1463</x:v>
      </x:c>
      <x:c r="R84" s="26">
        <x:v>2612</x:v>
      </x:c>
      <x:c r="S84" s="27"/>
      <x:c r="T84" s="24" t="s">
        <x:v>1398</x:v>
      </x:c>
      <x:c r="U84" s="24" t="s">
        <x:v>1399</x:v>
      </x:c>
    </x:row>
    <x:row r="85" ht="18" customHeight="1">
      <x:c r="A85" s="26">
        <x:v>998</x:v>
      </x:c>
      <x:c r="B85" s="24" t="s">
        <x:v>220</x:v>
      </x:c>
      <x:c r="C85" s="24" t="s">
        <x:v>1617</x:v>
      </x:c>
      <x:c r="D85" s="24" t="s">
        <x:v>1618</x:v>
      </x:c>
      <x:c r="E85" s="24" t="s">
        <x:v>1619</x:v>
      </x:c>
      <x:c r="F85" s="24" t="s">
        <x:v>318</x:v>
      </x:c>
      <x:c r="G85" s="26">
        <x:v>70</x:v>
      </x:c>
      <x:c r="H85" s="26">
        <x:v>1533</x:v>
      </x:c>
      <x:c r="I85" s="26">
        <x:v>38</x:v>
      </x:c>
      <x:c r="J85" s="24" t="s">
        <x:v>1001</x:v>
      </x:c>
      <x:c r="K85" s="24" t="s">
        <x:v>1507</x:v>
      </x:c>
      <x:c r="L85" s="26">
        <x:v>4</x:v>
      </x:c>
      <x:c r="M85" s="26">
        <x:v>3</x:v>
      </x:c>
      <x:c r="N85" s="26">
        <x:v>4</x:v>
      </x:c>
      <x:c r="O85" s="26">
        <x:v>4</x:v>
      </x:c>
      <x:c r="P85" s="26">
        <x:v>0</x:v>
      </x:c>
      <x:c r="Q85" s="27" t="s">
        <x:v>1620</x:v>
      </x:c>
      <x:c r="R85" s="26">
        <x:v>2620</x:v>
      </x:c>
      <x:c r="S85" s="27"/>
      <x:c r="T85" s="24" t="s">
        <x:v>1398</x:v>
      </x:c>
      <x:c r="U85" s="24" t="s">
        <x:v>1399</x:v>
      </x:c>
    </x:row>
    <x:row r="86" ht="18" customHeight="1">
      <x:c r="A86" s="26">
        <x:v>1004</x:v>
      </x:c>
      <x:c r="B86" s="24" t="s">
        <x:v>419</x:v>
      </x:c>
      <x:c r="C86" s="24" t="s">
        <x:v>1621</x:v>
      </x:c>
      <x:c r="D86" s="24" t="s">
        <x:v>1622</x:v>
      </x:c>
      <x:c r="E86" s="24" t="s">
        <x:v>1623</x:v>
      </x:c>
      <x:c r="F86" s="24" t="s">
        <x:v>318</x:v>
      </x:c>
      <x:c r="G86" s="26">
        <x:v>65</x:v>
      </x:c>
      <x:c r="H86" s="26">
        <x:v>1385</x:v>
      </x:c>
      <x:c r="I86" s="26">
        <x:v>37</x:v>
      </x:c>
      <x:c r="J86" s="24" t="s">
        <x:v>1001</x:v>
      </x:c>
      <x:c r="K86" s="24" t="s">
        <x:v>1553</x:v>
      </x:c>
      <x:c r="L86" s="26">
        <x:v>6</x:v>
      </x:c>
      <x:c r="M86" s="26">
        <x:v>3</x:v>
      </x:c>
      <x:c r="N86" s="26">
        <x:v>3</x:v>
      </x:c>
      <x:c r="O86" s="26">
        <x:v>1</x:v>
      </x:c>
      <x:c r="P86" s="26">
        <x:v>0</x:v>
      </x:c>
      <x:c r="Q86" s="27" t="s">
        <x:v>1624</x:v>
      </x:c>
      <x:c r="R86" s="26">
        <x:v>2630</x:v>
      </x:c>
      <x:c r="S86" s="27"/>
      <x:c r="T86" s="24" t="s">
        <x:v>1398</x:v>
      </x:c>
      <x:c r="U86" s="24" t="s">
        <x:v>1399</x:v>
      </x:c>
    </x:row>
    <x:row r="87" ht="18" customHeight="1">
      <x:c r="A87" s="26">
        <x:v>1046</x:v>
      </x:c>
      <x:c r="B87" s="24" t="s">
        <x:v>99</x:v>
      </x:c>
      <x:c r="C87" s="24" t="s">
        <x:v>1625</x:v>
      </x:c>
      <x:c r="D87" s="24" t="s">
        <x:v>1626</x:v>
      </x:c>
      <x:c r="E87" s="24" t="s">
        <x:v>1469</x:v>
      </x:c>
      <x:c r="F87" s="24" t="s">
        <x:v>319</x:v>
      </x:c>
      <x:c r="G87" s="26">
        <x:v>45</x:v>
      </x:c>
      <x:c r="H87" s="26">
        <x:v>1323</x:v>
      </x:c>
      <x:c r="I87" s="26">
        <x:v>36</x:v>
      </x:c>
      <x:c r="J87" s="24" t="s">
        <x:v>334</x:v>
      </x:c>
      <x:c r="K87" s="24" t="s">
        <x:v>1549</x:v>
      </x:c>
      <x:c r="L87" s="26">
        <x:v>5</x:v>
      </x:c>
      <x:c r="M87" s="26">
        <x:v>2</x:v>
      </x:c>
      <x:c r="N87" s="26">
        <x:v>2</x:v>
      </x:c>
      <x:c r="O87" s="26">
        <x:v>0</x:v>
      </x:c>
      <x:c r="P87" s="26">
        <x:v>0</x:v>
      </x:c>
      <x:c r="Q87" s="27" t="s">
        <x:v>1627</x:v>
      </x:c>
      <x:c r="R87" s="26">
        <x:v>2948</x:v>
      </x:c>
      <x:c r="S87" s="27"/>
      <x:c r="T87" s="24" t="s">
        <x:v>857</x:v>
      </x:c>
      <x:c r="U87" s="24" t="s">
        <x:v>1399</x:v>
      </x:c>
    </x:row>
    <x:row r="88" ht="18" customHeight="1">
      <x:c r="A88" s="26">
        <x:v>1047</x:v>
      </x:c>
      <x:c r="B88" s="24" t="s">
        <x:v>106</x:v>
      </x:c>
      <x:c r="C88" s="24" t="s">
        <x:v>1628</x:v>
      </x:c>
      <x:c r="D88" s="24" t="s">
        <x:v>1626</x:v>
      </x:c>
      <x:c r="E88" s="24" t="s">
        <x:v>1441</x:v>
      </x:c>
      <x:c r="F88" s="24" t="s">
        <x:v>319</x:v>
      </x:c>
      <x:c r="G88" s="26">
        <x:v>45</x:v>
      </x:c>
      <x:c r="H88" s="26">
        <x:v>1461</x:v>
      </x:c>
      <x:c r="I88" s="26">
        <x:v>40</x:v>
      </x:c>
      <x:c r="J88" s="24" t="s">
        <x:v>334</x:v>
      </x:c>
      <x:c r="K88" s="24" t="s">
        <x:v>1549</x:v>
      </x:c>
      <x:c r="L88" s="26">
        <x:v>5</x:v>
      </x:c>
      <x:c r="M88" s="26">
        <x:v>3</x:v>
      </x:c>
      <x:c r="N88" s="26">
        <x:v>3</x:v>
      </x:c>
      <x:c r="O88" s="26">
        <x:v>1</x:v>
      </x:c>
      <x:c r="P88" s="26">
        <x:v>0</x:v>
      </x:c>
      <x:c r="Q88" s="27" t="s">
        <x:v>1601</x:v>
      </x:c>
      <x:c r="R88" s="26">
        <x:v>2948</x:v>
      </x:c>
      <x:c r="S88" s="27"/>
      <x:c r="T88" s="24" t="s">
        <x:v>857</x:v>
      </x:c>
      <x:c r="U88" s="24" t="s">
        <x:v>1399</x:v>
      </x:c>
    </x:row>
    <x:row r="89" ht="18" customHeight="1">
      <x:c r="A89" s="26">
        <x:v>1048</x:v>
      </x:c>
      <x:c r="B89" s="24" t="s">
        <x:v>119</x:v>
      </x:c>
      <x:c r="C89" s="24" t="s">
        <x:v>1629</x:v>
      </x:c>
      <x:c r="D89" s="24" t="s">
        <x:v>1626</x:v>
      </x:c>
      <x:c r="E89" s="24" t="s">
        <x:v>1406</x:v>
      </x:c>
      <x:c r="F89" s="24" t="s">
        <x:v>319</x:v>
      </x:c>
      <x:c r="G89" s="26">
        <x:v>45</x:v>
      </x:c>
      <x:c r="H89" s="26">
        <x:v>1211</x:v>
      </x:c>
      <x:c r="I89" s="26">
        <x:v>37</x:v>
      </x:c>
      <x:c r="J89" s="24" t="s">
        <x:v>975</x:v>
      </x:c>
      <x:c r="K89" s="24" t="s">
        <x:v>1549</x:v>
      </x:c>
      <x:c r="L89" s="26">
        <x:v>5</x:v>
      </x:c>
      <x:c r="M89" s="26">
        <x:v>2</x:v>
      </x:c>
      <x:c r="N89" s="26">
        <x:v>2</x:v>
      </x:c>
      <x:c r="O89" s="26">
        <x:v>2</x:v>
      </x:c>
      <x:c r="P89" s="26">
        <x:v>0</x:v>
      </x:c>
      <x:c r="Q89" s="27" t="s">
        <x:v>1567</x:v>
      </x:c>
      <x:c r="R89" s="26">
        <x:v>2948</x:v>
      </x:c>
      <x:c r="S89" s="27"/>
      <x:c r="T89" s="24" t="s">
        <x:v>857</x:v>
      </x:c>
      <x:c r="U89" s="24" t="s">
        <x:v>1399</x:v>
      </x:c>
    </x:row>
    <x:row r="90" ht="18" customHeight="1">
      <x:c r="A90" s="26">
        <x:v>1049</x:v>
      </x:c>
      <x:c r="B90" s="24" t="s">
        <x:v>87</x:v>
      </x:c>
      <x:c r="C90" s="24" t="s">
        <x:v>1630</x:v>
      </x:c>
      <x:c r="D90" s="24" t="s">
        <x:v>1626</x:v>
      </x:c>
      <x:c r="E90" s="24" t="s">
        <x:v>1476</x:v>
      </x:c>
      <x:c r="F90" s="24" t="s">
        <x:v>319</x:v>
      </x:c>
      <x:c r="G90" s="26">
        <x:v>45</x:v>
      </x:c>
      <x:c r="H90" s="26">
        <x:v>1653</x:v>
      </x:c>
      <x:c r="I90" s="26">
        <x:v>45</x:v>
      </x:c>
      <x:c r="J90" s="24" t="s">
        <x:v>334</x:v>
      </x:c>
      <x:c r="K90" s="24" t="s">
        <x:v>1549</x:v>
      </x:c>
      <x:c r="L90" s="26">
        <x:v>5</x:v>
      </x:c>
      <x:c r="M90" s="26">
        <x:v>4</x:v>
      </x:c>
      <x:c r="N90" s="26">
        <x:v>4</x:v>
      </x:c>
      <x:c r="O90" s="26">
        <x:v>0</x:v>
      </x:c>
      <x:c r="P90" s="26">
        <x:v>0</x:v>
      </x:c>
      <x:c r="Q90" s="27" t="s">
        <x:v>1471</x:v>
      </x:c>
      <x:c r="R90" s="26">
        <x:v>2948</x:v>
      </x:c>
      <x:c r="S90" s="27"/>
      <x:c r="T90" s="24" t="s">
        <x:v>857</x:v>
      </x:c>
      <x:c r="U90" s="24" t="s">
        <x:v>1399</x:v>
      </x:c>
    </x:row>
    <x:row r="91" ht="18" customHeight="1">
      <x:c r="A91" s="26">
        <x:v>1053</x:v>
      </x:c>
      <x:c r="B91" s="24" t="s">
        <x:v>93</x:v>
      </x:c>
      <x:c r="C91" s="24" t="s">
        <x:v>1631</x:v>
      </x:c>
      <x:c r="D91" s="24" t="s">
        <x:v>1626</x:v>
      </x:c>
      <x:c r="E91" s="24" t="s">
        <x:v>1444</x:v>
      </x:c>
      <x:c r="F91" s="24" t="s">
        <x:v>319</x:v>
      </x:c>
      <x:c r="G91" s="26">
        <x:v>45</x:v>
      </x:c>
      <x:c r="H91" s="26">
        <x:v>1678</x:v>
      </x:c>
      <x:c r="I91" s="26">
        <x:v>44</x:v>
      </x:c>
      <x:c r="J91" s="24" t="s">
        <x:v>334</x:v>
      </x:c>
      <x:c r="K91" s="24" t="s">
        <x:v>1549</x:v>
      </x:c>
      <x:c r="L91" s="26">
        <x:v>5</x:v>
      </x:c>
      <x:c r="M91" s="26">
        <x:v>3</x:v>
      </x:c>
      <x:c r="N91" s="26">
        <x:v>3</x:v>
      </x:c>
      <x:c r="O91" s="26">
        <x:v>2</x:v>
      </x:c>
      <x:c r="P91" s="26">
        <x:v>0</x:v>
      </x:c>
      <x:c r="Q91" s="27" t="s">
        <x:v>1632</x:v>
      </x:c>
      <x:c r="R91" s="26">
        <x:v>2948</x:v>
      </x:c>
      <x:c r="S91" s="27"/>
      <x:c r="T91" s="24" t="s">
        <x:v>857</x:v>
      </x:c>
      <x:c r="U91" s="24" t="s">
        <x:v>1399</x:v>
      </x:c>
    </x:row>
    <x:row r="92" ht="18" customHeight="1">
      <x:c r="A92" s="26">
        <x:v>1063</x:v>
      </x:c>
      <x:c r="B92" s="24" t="s">
        <x:v>50</x:v>
      </x:c>
      <x:c r="C92" s="24" t="s">
        <x:v>50</x:v>
      </x:c>
      <x:c r="D92" s="24" t="s">
        <x:v>1633</x:v>
      </x:c>
      <x:c r="E92" s="24" t="s">
        <x:v>1469</x:v>
      </x:c>
      <x:c r="F92" s="24" t="s">
        <x:v>317</x:v>
      </x:c>
      <x:c r="G92" s="26">
        <x:v>25</x:v>
      </x:c>
      <x:c r="H92" s="26">
        <x:v>822</x:v>
      </x:c>
      <x:c r="I92" s="26">
        <x:v>27</x:v>
      </x:c>
      <x:c r="J92" s="24" t="s">
        <x:v>334</x:v>
      </x:c>
      <x:c r="K92" s="24" t="s">
        <x:v>1549</x:v>
      </x:c>
      <x:c r="L92" s="26">
        <x:v>3</x:v>
      </x:c>
      <x:c r="M92" s="26">
        <x:v>2</x:v>
      </x:c>
      <x:c r="N92" s="26">
        <x:v>2</x:v>
      </x:c>
      <x:c r="O92" s="26">
        <x:v>1</x:v>
      </x:c>
      <x:c r="P92" s="26">
        <x:v>0</x:v>
      </x:c>
      <x:c r="Q92" s="27" t="s">
        <x:v>1567</x:v>
      </x:c>
      <x:c r="R92" s="26">
        <x:v>3052</x:v>
      </x:c>
      <x:c r="S92" s="27"/>
      <x:c r="T92" s="24" t="s">
        <x:v>857</x:v>
      </x:c>
      <x:c r="U92" s="24" t="s">
        <x:v>1399</x:v>
      </x:c>
    </x:row>
    <x:row r="93" ht="18" customHeight="1">
      <x:c r="A93" s="26">
        <x:v>1064</x:v>
      </x:c>
      <x:c r="B93" s="24" t="s">
        <x:v>44</x:v>
      </x:c>
      <x:c r="C93" s="24" t="s">
        <x:v>44</x:v>
      </x:c>
      <x:c r="D93" s="24" t="s">
        <x:v>1633</x:v>
      </x:c>
      <x:c r="E93" s="24" t="s">
        <x:v>1441</x:v>
      </x:c>
      <x:c r="F93" s="24" t="s">
        <x:v>317</x:v>
      </x:c>
      <x:c r="G93" s="26">
        <x:v>25</x:v>
      </x:c>
      <x:c r="H93" s="26">
        <x:v>1570</x:v>
      </x:c>
      <x:c r="I93" s="26">
        <x:v>28</x:v>
      </x:c>
      <x:c r="J93" s="24" t="s">
        <x:v>1253</x:v>
      </x:c>
      <x:c r="K93" s="24" t="s">
        <x:v>1549</x:v>
      </x:c>
      <x:c r="L93" s="26">
        <x:v>3</x:v>
      </x:c>
      <x:c r="M93" s="26">
        <x:v>2</x:v>
      </x:c>
      <x:c r="N93" s="26">
        <x:v>2</x:v>
      </x:c>
      <x:c r="O93" s="26">
        <x:v>2</x:v>
      </x:c>
      <x:c r="P93" s="26">
        <x:v>0</x:v>
      </x:c>
      <x:c r="Q93" s="27" t="s">
        <x:v>1634</x:v>
      </x:c>
      <x:c r="R93" s="26">
        <x:v>3052</x:v>
      </x:c>
      <x:c r="S93" s="27"/>
      <x:c r="T93" s="24" t="s">
        <x:v>857</x:v>
      </x:c>
      <x:c r="U93" s="24" t="s">
        <x:v>1399</x:v>
      </x:c>
    </x:row>
    <x:row r="94" ht="18" customHeight="1">
      <x:c r="A94" s="26">
        <x:v>1065</x:v>
      </x:c>
      <x:c r="B94" s="24" t="s">
        <x:v>39</x:v>
      </x:c>
      <x:c r="C94" s="24" t="s">
        <x:v>39</x:v>
      </x:c>
      <x:c r="D94" s="24" t="s">
        <x:v>1633</x:v>
      </x:c>
      <x:c r="E94" s="24" t="s">
        <x:v>1406</x:v>
      </x:c>
      <x:c r="F94" s="24" t="s">
        <x:v>317</x:v>
      </x:c>
      <x:c r="G94" s="26">
        <x:v>25</x:v>
      </x:c>
      <x:c r="H94" s="26">
        <x:v>1004</x:v>
      </x:c>
      <x:c r="I94" s="26">
        <x:v>34</x:v>
      </x:c>
      <x:c r="J94" s="24" t="s">
        <x:v>334</x:v>
      </x:c>
      <x:c r="K94" s="24" t="s">
        <x:v>1549</x:v>
      </x:c>
      <x:c r="L94" s="26">
        <x:v>3</x:v>
      </x:c>
      <x:c r="M94" s="26">
        <x:v>4</x:v>
      </x:c>
      <x:c r="N94" s="26">
        <x:v>3</x:v>
      </x:c>
      <x:c r="O94" s="26">
        <x:v>0</x:v>
      </x:c>
      <x:c r="P94" s="26">
        <x:v>0</x:v>
      </x:c>
      <x:c r="Q94" s="27" t="s">
        <x:v>1635</x:v>
      </x:c>
      <x:c r="R94" s="26">
        <x:v>3052</x:v>
      </x:c>
      <x:c r="S94" s="27"/>
      <x:c r="T94" s="24" t="s">
        <x:v>857</x:v>
      </x:c>
      <x:c r="U94" s="24" t="s">
        <x:v>1399</x:v>
      </x:c>
    </x:row>
    <x:row r="95" ht="18" customHeight="1">
      <x:c r="A95" s="26">
        <x:v>1066</x:v>
      </x:c>
      <x:c r="B95" s="24" t="s">
        <x:v>56</x:v>
      </x:c>
      <x:c r="C95" s="24" t="s">
        <x:v>56</x:v>
      </x:c>
      <x:c r="D95" s="24" t="s">
        <x:v>1633</x:v>
      </x:c>
      <x:c r="E95" s="24" t="s">
        <x:v>1476</x:v>
      </x:c>
      <x:c r="F95" s="24" t="s">
        <x:v>317</x:v>
      </x:c>
      <x:c r="G95" s="26">
        <x:v>25</x:v>
      </x:c>
      <x:c r="H95" s="26">
        <x:v>826</x:v>
      </x:c>
      <x:c r="I95" s="26">
        <x:v>27</x:v>
      </x:c>
      <x:c r="J95" s="24" t="s">
        <x:v>334</x:v>
      </x:c>
      <x:c r="K95" s="24" t="s">
        <x:v>1549</x:v>
      </x:c>
      <x:c r="L95" s="26">
        <x:v>3</x:v>
      </x:c>
      <x:c r="M95" s="26">
        <x:v>2</x:v>
      </x:c>
      <x:c r="N95" s="26">
        <x:v>2</x:v>
      </x:c>
      <x:c r="O95" s="26">
        <x:v>0</x:v>
      </x:c>
      <x:c r="P95" s="26">
        <x:v>0</x:v>
      </x:c>
      <x:c r="Q95" s="27" t="s">
        <x:v>1636</x:v>
      </x:c>
      <x:c r="R95" s="26">
        <x:v>3052</x:v>
      </x:c>
      <x:c r="S95" s="27"/>
      <x:c r="T95" s="24" t="s">
        <x:v>857</x:v>
      </x:c>
      <x:c r="U95" s="24" t="s">
        <x:v>1399</x:v>
      </x:c>
    </x:row>
    <x:row r="96" ht="18" customHeight="1">
      <x:c r="A96" s="26">
        <x:v>1070</x:v>
      </x:c>
      <x:c r="B96" s="24" t="s">
        <x:v>29</x:v>
      </x:c>
      <x:c r="C96" s="24" t="s">
        <x:v>29</x:v>
      </x:c>
      <x:c r="D96" s="24" t="s">
        <x:v>1633</x:v>
      </x:c>
      <x:c r="E96" s="24" t="s">
        <x:v>1444</x:v>
      </x:c>
      <x:c r="F96" s="24" t="s">
        <x:v>317</x:v>
      </x:c>
      <x:c r="G96" s="26">
        <x:v>25</x:v>
      </x:c>
      <x:c r="H96" s="26">
        <x:v>1451</x:v>
      </x:c>
      <x:c r="I96" s="26">
        <x:v>40</x:v>
      </x:c>
      <x:c r="J96" s="24" t="s">
        <x:v>334</x:v>
      </x:c>
      <x:c r="K96" s="24" t="s">
        <x:v>1549</x:v>
      </x:c>
      <x:c r="L96" s="26">
        <x:v>3</x:v>
      </x:c>
      <x:c r="M96" s="26">
        <x:v>5</x:v>
      </x:c>
      <x:c r="N96" s="26">
        <x:v>5</x:v>
      </x:c>
      <x:c r="O96" s="26">
        <x:v>0</x:v>
      </x:c>
      <x:c r="P96" s="26">
        <x:v>0</x:v>
      </x:c>
      <x:c r="Q96" s="27" t="s">
        <x:v>1473</x:v>
      </x:c>
      <x:c r="R96" s="26">
        <x:v>3052</x:v>
      </x:c>
      <x:c r="S96" s="27"/>
      <x:c r="T96" s="24" t="s">
        <x:v>857</x:v>
      </x:c>
      <x:c r="U96" s="24" t="s">
        <x:v>1399</x:v>
      </x:c>
    </x:row>
    <x:row r="97" ht="18" customHeight="1">
      <x:c r="A97" s="26">
        <x:v>1082</x:v>
      </x:c>
      <x:c r="B97" s="24" t="s">
        <x:v>83</x:v>
      </x:c>
      <x:c r="C97" s="24" t="s">
        <x:v>83</x:v>
      </x:c>
      <x:c r="D97" s="24" t="s">
        <x:v>1637</x:v>
      </x:c>
      <x:c r="E97" s="24" t="s">
        <x:v>1406</x:v>
      </x:c>
      <x:c r="F97" s="24" t="s">
        <x:v>317</x:v>
      </x:c>
      <x:c r="G97" s="26">
        <x:v>30</x:v>
      </x:c>
      <x:c r="H97" s="26">
        <x:v>1290</x:v>
      </x:c>
      <x:c r="I97" s="26">
        <x:v>33</x:v>
      </x:c>
      <x:c r="J97" s="24" t="s">
        <x:v>334</x:v>
      </x:c>
      <x:c r="K97" s="24" t="s">
        <x:v>1638</x:v>
      </x:c>
      <x:c r="L97" s="26">
        <x:v>3</x:v>
      </x:c>
      <x:c r="M97" s="26">
        <x:v>5</x:v>
      </x:c>
      <x:c r="N97" s="26">
        <x:v>5</x:v>
      </x:c>
      <x:c r="O97" s="26">
        <x:v>0</x:v>
      </x:c>
      <x:c r="P97" s="26">
        <x:v>0</x:v>
      </x:c>
      <x:c r="Q97" s="27" t="s">
        <x:v>1639</x:v>
      </x:c>
      <x:c r="R97" s="26">
        <x:v>2839</x:v>
      </x:c>
      <x:c r="S97" s="27"/>
      <x:c r="T97" s="24" t="s">
        <x:v>857</x:v>
      </x:c>
      <x:c r="U97" s="24" t="s">
        <x:v>1399</x:v>
      </x:c>
    </x:row>
    <x:row r="98" ht="18" customHeight="1">
      <x:c r="A98" s="26">
        <x:v>1089</x:v>
      </x:c>
      <x:c r="B98" s="24" t="s">
        <x:v>342</x:v>
      </x:c>
      <x:c r="C98" s="24" t="s">
        <x:v>1640</x:v>
      </x:c>
      <x:c r="D98" s="24" t="s">
        <x:v>1637</x:v>
      </x:c>
      <x:c r="E98" s="24" t="s">
        <x:v>1641</x:v>
      </x:c>
      <x:c r="F98" s="24" t="s">
        <x:v>317</x:v>
      </x:c>
      <x:c r="G98" s="26">
        <x:v>30</x:v>
      </x:c>
      <x:c r="H98" s="26">
        <x:v>806</x:v>
      </x:c>
      <x:c r="I98" s="26">
        <x:v>25</x:v>
      </x:c>
      <x:c r="J98" s="24" t="s">
        <x:v>334</x:v>
      </x:c>
      <x:c r="K98" s="24" t="s">
        <x:v>1638</x:v>
      </x:c>
      <x:c r="L98" s="26">
        <x:v>3</x:v>
      </x:c>
      <x:c r="M98" s="26">
        <x:v>3</x:v>
      </x:c>
      <x:c r="N98" s="26">
        <x:v>3</x:v>
      </x:c>
      <x:c r="O98" s="26">
        <x:v>0</x:v>
      </x:c>
      <x:c r="P98" s="26">
        <x:v>0</x:v>
      </x:c>
      <x:c r="Q98" s="27" t="s">
        <x:v>1642</x:v>
      </x:c>
      <x:c r="R98" s="26">
        <x:v>3048</x:v>
      </x:c>
      <x:c r="S98" s="27"/>
      <x:c r="T98" s="24" t="s">
        <x:v>1398</x:v>
      </x:c>
      <x:c r="U98" s="24" t="s">
        <x:v>1399</x:v>
      </x:c>
    </x:row>
    <x:row r="99" ht="18" customHeight="1">
      <x:c r="A99" s="26">
        <x:v>1096</x:v>
      </x:c>
      <x:c r="B99" s="24" t="s">
        <x:v>352</x:v>
      </x:c>
      <x:c r="C99" s="24" t="s">
        <x:v>1643</x:v>
      </x:c>
      <x:c r="D99" s="24" t="s">
        <x:v>1644</x:v>
      </x:c>
      <x:c r="E99" s="24" t="s">
        <x:v>1645</x:v>
      </x:c>
      <x:c r="F99" s="24" t="s">
        <x:v>317</x:v>
      </x:c>
      <x:c r="G99" s="26">
        <x:v>35</x:v>
      </x:c>
      <x:c r="H99" s="26">
        <x:v>694</x:v>
      </x:c>
      <x:c r="I99" s="26">
        <x:v>20</x:v>
      </x:c>
      <x:c r="J99" s="24" t="s">
        <x:v>1411</x:v>
      </x:c>
      <x:c r="K99" s="24" t="s">
        <x:v>1553</x:v>
      </x:c>
      <x:c r="L99" s="26">
        <x:v>3</x:v>
      </x:c>
      <x:c r="M99" s="26">
        <x:v>2</x:v>
      </x:c>
      <x:c r="N99" s="26">
        <x:v>1</x:v>
      </x:c>
      <x:c r="O99" s="26">
        <x:v>0</x:v>
      </x:c>
      <x:c r="P99" s="26">
        <x:v>0</x:v>
      </x:c>
      <x:c r="Q99" s="27" t="s">
        <x:v>1646</x:v>
      </x:c>
      <x:c r="R99" s="26">
        <x:v>2703</x:v>
      </x:c>
      <x:c r="S99" s="27"/>
      <x:c r="T99" s="24" t="s">
        <x:v>1398</x:v>
      </x:c>
      <x:c r="U99" s="24" t="s">
        <x:v>1399</x:v>
      </x:c>
    </x:row>
    <x:row r="100" ht="18" customHeight="1">
      <x:c r="A100" s="26">
        <x:v>1098</x:v>
      </x:c>
      <x:c r="B100" s="24" t="s">
        <x:v>354</x:v>
      </x:c>
      <x:c r="C100" s="24" t="s">
        <x:v>1647</x:v>
      </x:c>
      <x:c r="D100" s="24" t="s">
        <x:v>1644</x:v>
      </x:c>
      <x:c r="E100" s="24" t="s">
        <x:v>1648</x:v>
      </x:c>
      <x:c r="F100" s="24" t="s">
        <x:v>317</x:v>
      </x:c>
      <x:c r="G100" s="26">
        <x:v>35</x:v>
      </x:c>
      <x:c r="H100" s="26">
        <x:v>798</x:v>
      </x:c>
      <x:c r="I100" s="26">
        <x:v>21</x:v>
      </x:c>
      <x:c r="J100" s="24" t="s">
        <x:v>1411</x:v>
      </x:c>
      <x:c r="K100" s="24" t="s">
        <x:v>1553</x:v>
      </x:c>
      <x:c r="L100" s="26">
        <x:v>4</x:v>
      </x:c>
      <x:c r="M100" s="26">
        <x:v>2</x:v>
      </x:c>
      <x:c r="N100" s="26">
        <x:v>1</x:v>
      </x:c>
      <x:c r="O100" s="26">
        <x:v>0</x:v>
      </x:c>
      <x:c r="P100" s="26">
        <x:v>0</x:v>
      </x:c>
      <x:c r="Q100" s="27"/>
      <x:c r="R100" s="26">
        <x:v>2893</x:v>
      </x:c>
      <x:c r="S100" s="27"/>
      <x:c r="T100" s="24" t="s">
        <x:v>1398</x:v>
      </x:c>
      <x:c r="U100" s="24" t="s">
        <x:v>1399</x:v>
      </x:c>
    </x:row>
    <x:row r="101" ht="18" customHeight="1">
      <x:c r="A101" s="26">
        <x:v>1124</x:v>
      </x:c>
      <x:c r="B101" s="24" t="s">
        <x:v>245</x:v>
      </x:c>
      <x:c r="C101" s="24" t="s">
        <x:v>1649</x:v>
      </x:c>
      <x:c r="D101" s="24" t="s">
        <x:v>1650</x:v>
      </x:c>
      <x:c r="E101" s="24" t="s">
        <x:v>1651</x:v>
      </x:c>
      <x:c r="F101" s="24" t="s">
        <x:v>318</x:v>
      </x:c>
      <x:c r="G101" s="26">
        <x:v>75</x:v>
      </x:c>
      <x:c r="H101" s="26">
        <x:v>1779</x:v>
      </x:c>
      <x:c r="I101" s="26">
        <x:v>41</x:v>
      </x:c>
      <x:c r="J101" s="24" t="s">
        <x:v>1001</x:v>
      </x:c>
      <x:c r="K101" s="24" t="s">
        <x:v>1507</x:v>
      </x:c>
      <x:c r="L101" s="26">
        <x:v>7</x:v>
      </x:c>
      <x:c r="M101" s="26">
        <x:v>4</x:v>
      </x:c>
      <x:c r="N101" s="26">
        <x:v>4</x:v>
      </x:c>
      <x:c r="O101" s="26">
        <x:v>0</x:v>
      </x:c>
      <x:c r="P101" s="26">
        <x:v>0</x:v>
      </x:c>
      <x:c r="Q101" s="27" t="s">
        <x:v>1652</x:v>
      </x:c>
      <x:c r="R101" s="26">
        <x:v>2701</x:v>
      </x:c>
      <x:c r="S101" s="27"/>
      <x:c r="T101" s="24" t="s">
        <x:v>1398</x:v>
      </x:c>
      <x:c r="U101" s="24" t="s">
        <x:v>1399</x:v>
      </x:c>
    </x:row>
    <x:row r="102" ht="18" customHeight="1">
      <x:c r="A102" s="26">
        <x:v>1170</x:v>
      </x:c>
      <x:c r="B102" s="24" t="s">
        <x:v>1653</x:v>
      </x:c>
      <x:c r="C102" s="24" t="s">
        <x:v>1654</x:v>
      </x:c>
      <x:c r="D102" s="24" t="s">
        <x:v>1655</x:v>
      </x:c>
      <x:c r="E102" s="24" t="s">
        <x:v>1435</x:v>
      </x:c>
      <x:c r="F102" s="24" t="s">
        <x:v>318</x:v>
      </x:c>
      <x:c r="G102" s="26">
        <x:v>60</x:v>
      </x:c>
      <x:c r="H102" s="26">
        <x:v>1825</x:v>
      </x:c>
      <x:c r="I102" s="26">
        <x:v>36</x:v>
      </x:c>
      <x:c r="J102" s="24" t="s">
        <x:v>1253</x:v>
      </x:c>
      <x:c r="K102" s="24" t="s">
        <x:v>1396</x:v>
      </x:c>
      <x:c r="L102" s="26">
        <x:v>7</x:v>
      </x:c>
      <x:c r="M102" s="26">
        <x:v>3</x:v>
      </x:c>
      <x:c r="N102" s="26">
        <x:v>3</x:v>
      </x:c>
      <x:c r="O102" s="26">
        <x:v>3</x:v>
      </x:c>
      <x:c r="P102" s="26">
        <x:v>0</x:v>
      </x:c>
      <x:c r="Q102" s="27" t="s">
        <x:v>1656</x:v>
      </x:c>
      <x:c r="R102" s="26">
        <x:v>2834</x:v>
      </x:c>
      <x:c r="S102" s="27"/>
      <x:c r="T102" s="24" t="s">
        <x:v>857</x:v>
      </x:c>
      <x:c r="U102" s="24" t="s">
        <x:v>1399</x:v>
      </x:c>
    </x:row>
    <x:row r="103" ht="18" customHeight="1">
      <x:c r="A103" s="26">
        <x:v>1171</x:v>
      </x:c>
      <x:c r="B103" s="24" t="s">
        <x:v>238</x:v>
      </x:c>
      <x:c r="C103" s="24" t="s">
        <x:v>1657</x:v>
      </x:c>
      <x:c r="D103" s="24" t="s">
        <x:v>1655</x:v>
      </x:c>
      <x:c r="E103" s="24">
        <x:v>2</x:v>
      </x:c>
      <x:c r="F103" s="24" t="s">
        <x:v>318</x:v>
      </x:c>
      <x:c r="G103" s="26">
        <x:v>60</x:v>
      </x:c>
      <x:c r="H103" s="26">
        <x:v>2038</x:v>
      </x:c>
      <x:c r="I103" s="26">
        <x:v>45</x:v>
      </x:c>
      <x:c r="J103" s="24" t="s">
        <x:v>1253</x:v>
      </x:c>
      <x:c r="K103" s="24" t="s">
        <x:v>1396</x:v>
      </x:c>
      <x:c r="L103" s="26">
        <x:v>7</x:v>
      </x:c>
      <x:c r="M103" s="26">
        <x:v>6</x:v>
      </x:c>
      <x:c r="N103" s="26">
        <x:v>6</x:v>
      </x:c>
      <x:c r="O103" s="26">
        <x:v>3</x:v>
      </x:c>
      <x:c r="P103" s="26">
        <x:v>0</x:v>
      </x:c>
      <x:c r="Q103" s="27" t="s">
        <x:v>1432</x:v>
      </x:c>
      <x:c r="R103" s="26">
        <x:v>2952</x:v>
      </x:c>
      <x:c r="S103" s="27"/>
      <x:c r="T103" s="24" t="s">
        <x:v>857</x:v>
      </x:c>
      <x:c r="U103" s="24" t="s">
        <x:v>1399</x:v>
      </x:c>
    </x:row>
    <x:row r="104" ht="18" customHeight="1">
      <x:c r="A104" s="26">
        <x:v>1203</x:v>
      </x:c>
      <x:c r="B104" s="24" t="s">
        <x:v>267</x:v>
      </x:c>
      <x:c r="C104" s="24" t="s">
        <x:v>1658</x:v>
      </x:c>
      <x:c r="D104" s="24" t="s">
        <x:v>1659</x:v>
      </x:c>
      <x:c r="E104" s="24" t="s">
        <x:v>1469</x:v>
      </x:c>
      <x:c r="F104" s="24" t="s">
        <x:v>324</x:v>
      </x:c>
      <x:c r="G104" s="26">
        <x:v>95</x:v>
      </x:c>
      <x:c r="H104" s="26">
        <x:v>3112</x:v>
      </x:c>
      <x:c r="I104" s="26">
        <x:v>57</x:v>
      </x:c>
      <x:c r="J104" s="24" t="s">
        <x:v>1001</x:v>
      </x:c>
      <x:c r="K104" s="24" t="s">
        <x:v>1638</x:v>
      </x:c>
      <x:c r="L104" s="26">
        <x:v>9</x:v>
      </x:c>
      <x:c r="M104" s="26">
        <x:v>5</x:v>
      </x:c>
      <x:c r="N104" s="26">
        <x:v>5</x:v>
      </x:c>
      <x:c r="O104" s="26">
        <x:v>4</x:v>
      </x:c>
      <x:c r="P104" s="26">
        <x:v>0</x:v>
      </x:c>
      <x:c r="Q104" s="27" t="s">
        <x:v>1660</x:v>
      </x:c>
      <x:c r="R104" s="26">
        <x:v>3001</x:v>
      </x:c>
      <x:c r="S104" s="27"/>
      <x:c r="T104" s="24" t="s">
        <x:v>857</x:v>
      </x:c>
      <x:c r="U104" s="24" t="s">
        <x:v>1399</x:v>
      </x:c>
    </x:row>
    <x:row r="105" ht="18" customHeight="1">
      <x:c r="A105" s="26">
        <x:v>1204</x:v>
      </x:c>
      <x:c r="B105" s="24" t="s">
        <x:v>279</x:v>
      </x:c>
      <x:c r="C105" s="24" t="s">
        <x:v>1661</x:v>
      </x:c>
      <x:c r="D105" s="24" t="s">
        <x:v>1659</x:v>
      </x:c>
      <x:c r="E105" s="24" t="s">
        <x:v>1441</x:v>
      </x:c>
      <x:c r="F105" s="24" t="s">
        <x:v>324</x:v>
      </x:c>
      <x:c r="G105" s="26">
        <x:v>95</x:v>
      </x:c>
      <x:c r="H105" s="26">
        <x:v>2940</x:v>
      </x:c>
      <x:c r="I105" s="26">
        <x:v>54</x:v>
      </x:c>
      <x:c r="J105" s="24" t="s">
        <x:v>1001</x:v>
      </x:c>
      <x:c r="K105" s="24" t="s">
        <x:v>1638</x:v>
      </x:c>
      <x:c r="L105" s="26">
        <x:v>9</x:v>
      </x:c>
      <x:c r="M105" s="26">
        <x:v>5</x:v>
      </x:c>
      <x:c r="N105" s="26">
        <x:v>5</x:v>
      </x:c>
      <x:c r="O105" s="26">
        <x:v>2</x:v>
      </x:c>
      <x:c r="P105" s="26">
        <x:v>0</x:v>
      </x:c>
      <x:c r="Q105" s="27" t="s">
        <x:v>1662</x:v>
      </x:c>
      <x:c r="R105" s="26">
        <x:v>3001</x:v>
      </x:c>
      <x:c r="S105" s="27"/>
      <x:c r="T105" s="24" t="s">
        <x:v>857</x:v>
      </x:c>
      <x:c r="U105" s="24" t="s">
        <x:v>1399</x:v>
      </x:c>
    </x:row>
    <x:row r="106" ht="18" customHeight="1">
      <x:c r="A106" s="26">
        <x:v>1205</x:v>
      </x:c>
      <x:c r="B106" s="24" t="s">
        <x:v>273</x:v>
      </x:c>
      <x:c r="C106" s="24" t="s">
        <x:v>1663</x:v>
      </x:c>
      <x:c r="D106" s="24" t="s">
        <x:v>1659</x:v>
      </x:c>
      <x:c r="E106" s="24" t="s">
        <x:v>1406</x:v>
      </x:c>
      <x:c r="F106" s="24" t="s">
        <x:v>324</x:v>
      </x:c>
      <x:c r="G106" s="26">
        <x:v>95</x:v>
      </x:c>
      <x:c r="H106" s="26">
        <x:v>2740</x:v>
      </x:c>
      <x:c r="I106" s="26">
        <x:v>55</x:v>
      </x:c>
      <x:c r="J106" s="24" t="s">
        <x:v>975</x:v>
      </x:c>
      <x:c r="K106" s="24" t="s">
        <x:v>1638</x:v>
      </x:c>
      <x:c r="L106" s="26">
        <x:v>9</x:v>
      </x:c>
      <x:c r="M106" s="26">
        <x:v>5</x:v>
      </x:c>
      <x:c r="N106" s="26">
        <x:v>5</x:v>
      </x:c>
      <x:c r="O106" s="26">
        <x:v>2</x:v>
      </x:c>
      <x:c r="P106" s="26">
        <x:v>0</x:v>
      </x:c>
      <x:c r="Q106" s="27" t="s">
        <x:v>1664</x:v>
      </x:c>
      <x:c r="R106" s="26">
        <x:v>3001</x:v>
      </x:c>
      <x:c r="S106" s="27"/>
      <x:c r="T106" s="24" t="s">
        <x:v>857</x:v>
      </x:c>
      <x:c r="U106" s="24" t="s">
        <x:v>1399</x:v>
      </x:c>
    </x:row>
    <x:row r="107" ht="18" customHeight="1">
      <x:c r="A107" s="26">
        <x:v>1206</x:v>
      </x:c>
      <x:c r="B107" s="24" t="s">
        <x:v>259</x:v>
      </x:c>
      <x:c r="C107" s="24" t="s">
        <x:v>1665</x:v>
      </x:c>
      <x:c r="D107" s="24" t="s">
        <x:v>1659</x:v>
      </x:c>
      <x:c r="E107" s="24" t="s">
        <x:v>1476</x:v>
      </x:c>
      <x:c r="F107" s="24" t="s">
        <x:v>324</x:v>
      </x:c>
      <x:c r="G107" s="26">
        <x:v>95</x:v>
      </x:c>
      <x:c r="H107" s="26">
        <x:v>2698</x:v>
      </x:c>
      <x:c r="I107" s="26">
        <x:v>62</x:v>
      </x:c>
      <x:c r="J107" s="24" t="s">
        <x:v>1001</x:v>
      </x:c>
      <x:c r="K107" s="24" t="s">
        <x:v>1638</x:v>
      </x:c>
      <x:c r="L107" s="26">
        <x:v>9</x:v>
      </x:c>
      <x:c r="M107" s="26">
        <x:v>7</x:v>
      </x:c>
      <x:c r="N107" s="26">
        <x:v>7</x:v>
      </x:c>
      <x:c r="O107" s="26">
        <x:v>2</x:v>
      </x:c>
      <x:c r="P107" s="26">
        <x:v>0</x:v>
      </x:c>
      <x:c r="Q107" s="27" t="s">
        <x:v>1666</x:v>
      </x:c>
      <x:c r="R107" s="26">
        <x:v>3001</x:v>
      </x:c>
      <x:c r="S107" s="27"/>
      <x:c r="T107" s="24" t="s">
        <x:v>857</x:v>
      </x:c>
      <x:c r="U107" s="24" t="s">
        <x:v>1399</x:v>
      </x:c>
    </x:row>
    <x:row r="108" ht="18" customHeight="1">
      <x:c r="A108" s="26">
        <x:v>1211</x:v>
      </x:c>
      <x:c r="B108" s="24" t="s">
        <x:v>266</x:v>
      </x:c>
      <x:c r="C108" s="24" t="s">
        <x:v>1667</x:v>
      </x:c>
      <x:c r="D108" s="24" t="s">
        <x:v>1659</x:v>
      </x:c>
      <x:c r="E108" s="24" t="s">
        <x:v>1444</x:v>
      </x:c>
      <x:c r="F108" s="24" t="s">
        <x:v>324</x:v>
      </x:c>
      <x:c r="G108" s="26">
        <x:v>95</x:v>
      </x:c>
      <x:c r="H108" s="26">
        <x:v>2749</x:v>
      </x:c>
      <x:c r="I108" s="26">
        <x:v>51</x:v>
      </x:c>
      <x:c r="J108" s="24" t="s">
        <x:v>1253</x:v>
      </x:c>
      <x:c r="K108" s="24" t="s">
        <x:v>1638</x:v>
      </x:c>
      <x:c r="L108" s="26">
        <x:v>9</x:v>
      </x:c>
      <x:c r="M108" s="26">
        <x:v>4</x:v>
      </x:c>
      <x:c r="N108" s="26">
        <x:v>4</x:v>
      </x:c>
      <x:c r="O108" s="26">
        <x:v>4</x:v>
      </x:c>
      <x:c r="P108" s="26">
        <x:v>0</x:v>
      </x:c>
      <x:c r="Q108" s="27" t="s">
        <x:v>1660</x:v>
      </x:c>
      <x:c r="R108" s="26">
        <x:v>3001</x:v>
      </x:c>
      <x:c r="S108" s="27"/>
      <x:c r="T108" s="24" t="s">
        <x:v>857</x:v>
      </x:c>
      <x:c r="U108" s="24" t="s">
        <x:v>1399</x:v>
      </x:c>
    </x:row>
    <x:row r="109" ht="18" customHeight="1">
      <x:c r="A109" s="26">
        <x:v>7596</x:v>
      </x:c>
      <x:c r="B109" s="24" t="s">
        <x:v>280</x:v>
      </x:c>
      <x:c r="C109" s="24" t="s">
        <x:v>1668</x:v>
      </x:c>
      <x:c r="D109" s="24" t="s">
        <x:v>1659</x:v>
      </x:c>
      <x:c r="E109" s="24" t="s">
        <x:v>1669</x:v>
      </x:c>
      <x:c r="F109" s="24" t="s">
        <x:v>324</x:v>
      </x:c>
      <x:c r="G109" s="26">
        <x:v>95</x:v>
      </x:c>
      <x:c r="H109" s="26">
        <x:v>3363</x:v>
      </x:c>
      <x:c r="I109" s="26">
        <x:v>63</x:v>
      </x:c>
      <x:c r="J109" s="24" t="s">
        <x:v>1001</x:v>
      </x:c>
      <x:c r="K109" s="24" t="s">
        <x:v>1638</x:v>
      </x:c>
      <x:c r="L109" s="26">
        <x:v>9</x:v>
      </x:c>
      <x:c r="M109" s="26">
        <x:v>6</x:v>
      </x:c>
      <x:c r="N109" s="26">
        <x:v>6</x:v>
      </x:c>
      <x:c r="O109" s="26">
        <x:v>5</x:v>
      </x:c>
      <x:c r="P109" s="26">
        <x:v>0</x:v>
      </x:c>
      <x:c r="Q109" s="27" t="s">
        <x:v>1670</x:v>
      </x:c>
      <x:c r="R109" s="26">
        <x:v>3052</x:v>
      </x:c>
      <x:c r="S109" s="27"/>
      <x:c r="T109" s="24" t="s">
        <x:v>857</x:v>
      </x:c>
      <x:c r="U109" s="24" t="s">
        <x:v>1399</x:v>
      </x:c>
    </x:row>
    <x:row r="110" ht="18" customHeight="1">
      <x:c r="A110" s="26">
        <x:v>1229</x:v>
      </x:c>
      <x:c r="B110" s="24" t="s">
        <x:v>426</x:v>
      </x:c>
      <x:c r="C110" s="24" t="s">
        <x:v>1671</x:v>
      </x:c>
      <x:c r="D110" s="24" t="s">
        <x:v>1672</x:v>
      </x:c>
      <x:c r="E110" s="24" t="s">
        <x:v>1673</x:v>
      </x:c>
      <x:c r="F110" s="24" t="s">
        <x:v>324</x:v>
      </x:c>
      <x:c r="G110" s="26">
        <x:v>80</x:v>
      </x:c>
      <x:c r="H110" s="26">
        <x:v>1449</x:v>
      </x:c>
      <x:c r="I110" s="26">
        <x:v>39</x:v>
      </x:c>
      <x:c r="J110" s="24" t="s">
        <x:v>1253</x:v>
      </x:c>
      <x:c r="K110" s="24" t="s">
        <x:v>1396</x:v>
      </x:c>
      <x:c r="L110" s="26">
        <x:v>8</x:v>
      </x:c>
      <x:c r="M110" s="26">
        <x:v>2</x:v>
      </x:c>
      <x:c r="N110" s="26">
        <x:v>3</x:v>
      </x:c>
      <x:c r="O110" s="26">
        <x:v>3</x:v>
      </x:c>
      <x:c r="P110" s="26">
        <x:v>0</x:v>
      </x:c>
      <x:c r="Q110" s="27" t="s">
        <x:v>1517</x:v>
      </x:c>
      <x:c r="R110" s="26">
        <x:v>2652</x:v>
      </x:c>
      <x:c r="S110" s="27"/>
      <x:c r="T110" s="24" t="s">
        <x:v>1398</x:v>
      </x:c>
      <x:c r="U110" s="24" t="s">
        <x:v>1399</x:v>
      </x:c>
    </x:row>
    <x:row r="111" ht="18" customHeight="1">
      <x:c r="A111" s="26">
        <x:v>1284</x:v>
      </x:c>
      <x:c r="B111" s="24" t="s">
        <x:v>149</x:v>
      </x:c>
      <x:c r="C111" s="24" t="s">
        <x:v>1674</x:v>
      </x:c>
      <x:c r="D111" s="24" t="s">
        <x:v>149</x:v>
      </x:c>
      <x:c r="E111" s="24" t="s">
        <x:v>1435</x:v>
      </x:c>
      <x:c r="F111" s="24" t="s">
        <x:v>319</x:v>
      </x:c>
      <x:c r="G111" s="26">
        <x:v>45</x:v>
      </x:c>
      <x:c r="H111" s="26">
        <x:v>1331</x:v>
      </x:c>
      <x:c r="I111" s="26">
        <x:v>36</x:v>
      </x:c>
      <x:c r="J111" s="24" t="s">
        <x:v>947</x:v>
      </x:c>
      <x:c r="K111" s="24" t="s">
        <x:v>1507</x:v>
      </x:c>
      <x:c r="L111" s="26">
        <x:v>4</x:v>
      </x:c>
      <x:c r="M111" s="26">
        <x:v>4</x:v>
      </x:c>
      <x:c r="N111" s="26">
        <x:v>4</x:v>
      </x:c>
      <x:c r="O111" s="26">
        <x:v>2</x:v>
      </x:c>
      <x:c r="P111" s="26">
        <x:v>0</x:v>
      </x:c>
      <x:c r="Q111" s="27" t="s">
        <x:v>1428</x:v>
      </x:c>
      <x:c r="R111" s="26">
        <x:v>2844</x:v>
      </x:c>
      <x:c r="S111" s="27"/>
      <x:c r="T111" s="24" t="s">
        <x:v>857</x:v>
      </x:c>
      <x:c r="U111" s="24" t="s">
        <x:v>1399</x:v>
      </x:c>
    </x:row>
    <x:row r="112" ht="18" customHeight="1">
      <x:c r="A112" s="26">
        <x:v>1286</x:v>
      </x:c>
      <x:c r="B112" s="24" t="s">
        <x:v>123</x:v>
      </x:c>
      <x:c r="C112" s="24" t="s">
        <x:v>1675</x:v>
      </x:c>
      <x:c r="D112" s="24" t="s">
        <x:v>1676</x:v>
      </x:c>
      <x:c r="E112" s="24" t="s">
        <x:v>1469</x:v>
      </x:c>
      <x:c r="F112" s="24" t="s">
        <x:v>319</x:v>
      </x:c>
      <x:c r="G112" s="26">
        <x:v>45</x:v>
      </x:c>
      <x:c r="H112" s="26">
        <x:v>2031</x:v>
      </x:c>
      <x:c r="I112" s="26">
        <x:v>48</x:v>
      </x:c>
      <x:c r="J112" s="24" t="s">
        <x:v>975</x:v>
      </x:c>
      <x:c r="K112" s="24" t="s">
        <x:v>1412</x:v>
      </x:c>
      <x:c r="L112" s="26">
        <x:v>5</x:v>
      </x:c>
      <x:c r="M112" s="26">
        <x:v>4</x:v>
      </x:c>
      <x:c r="N112" s="26">
        <x:v>4</x:v>
      </x:c>
      <x:c r="O112" s="26">
        <x:v>2</x:v>
      </x:c>
      <x:c r="P112" s="26">
        <x:v>0</x:v>
      </x:c>
      <x:c r="Q112" s="27" t="s">
        <x:v>1494</x:v>
      </x:c>
      <x:c r="R112" s="26">
        <x:v>3053</x:v>
      </x:c>
      <x:c r="S112" s="27" t="s">
        <x:v>1677</x:v>
      </x:c>
      <x:c r="T112" s="24" t="s">
        <x:v>857</x:v>
      </x:c>
      <x:c r="U112" s="24" t="s">
        <x:v>1399</x:v>
      </x:c>
    </x:row>
    <x:row r="113" ht="18" customHeight="1">
      <x:c r="A113" s="26">
        <x:v>1287</x:v>
      </x:c>
      <x:c r="B113" s="24" t="s">
        <x:v>130</x:v>
      </x:c>
      <x:c r="C113" s="24" t="s">
        <x:v>1678</x:v>
      </x:c>
      <x:c r="D113" s="24" t="s">
        <x:v>1676</x:v>
      </x:c>
      <x:c r="E113" s="24" t="s">
        <x:v>1441</x:v>
      </x:c>
      <x:c r="F113" s="24" t="s">
        <x:v>319</x:v>
      </x:c>
      <x:c r="G113" s="26">
        <x:v>45</x:v>
      </x:c>
      <x:c r="H113" s="26">
        <x:v>1903</x:v>
      </x:c>
      <x:c r="I113" s="26">
        <x:v>45</x:v>
      </x:c>
      <x:c r="J113" s="24" t="s">
        <x:v>334</x:v>
      </x:c>
      <x:c r="K113" s="24" t="s">
        <x:v>1412</x:v>
      </x:c>
      <x:c r="L113" s="26">
        <x:v>5</x:v>
      </x:c>
      <x:c r="M113" s="26">
        <x:v>4</x:v>
      </x:c>
      <x:c r="N113" s="26">
        <x:v>4</x:v>
      </x:c>
      <x:c r="O113" s="26">
        <x:v>1</x:v>
      </x:c>
      <x:c r="P113" s="26">
        <x:v>0</x:v>
      </x:c>
      <x:c r="Q113" s="27" t="s">
        <x:v>1473</x:v>
      </x:c>
      <x:c r="R113" s="26">
        <x:v>3053</x:v>
      </x:c>
      <x:c r="S113" s="27" t="s">
        <x:v>1677</x:v>
      </x:c>
      <x:c r="T113" s="24" t="s">
        <x:v>857</x:v>
      </x:c>
      <x:c r="U113" s="24" t="s">
        <x:v>1399</x:v>
      </x:c>
    </x:row>
    <x:row r="114" ht="18" customHeight="1">
      <x:c r="A114" s="26">
        <x:v>1288</x:v>
      </x:c>
      <x:c r="B114" s="24" t="s">
        <x:v>134</x:v>
      </x:c>
      <x:c r="C114" s="24" t="s">
        <x:v>1679</x:v>
      </x:c>
      <x:c r="D114" s="24" t="s">
        <x:v>1676</x:v>
      </x:c>
      <x:c r="E114" s="24" t="s">
        <x:v>1406</x:v>
      </x:c>
      <x:c r="F114" s="24" t="s">
        <x:v>319</x:v>
      </x:c>
      <x:c r="G114" s="26">
        <x:v>45</x:v>
      </x:c>
      <x:c r="H114" s="26">
        <x:v>1465</x:v>
      </x:c>
      <x:c r="I114" s="26">
        <x:v>36</x:v>
      </x:c>
      <x:c r="J114" s="24" t="s">
        <x:v>334</x:v>
      </x:c>
      <x:c r="K114" s="24" t="s">
        <x:v>1412</x:v>
      </x:c>
      <x:c r="L114" s="26">
        <x:v>5</x:v>
      </x:c>
      <x:c r="M114" s="26">
        <x:v>2</x:v>
      </x:c>
      <x:c r="N114" s="26">
        <x:v>2</x:v>
      </x:c>
      <x:c r="O114" s="26">
        <x:v>1</x:v>
      </x:c>
      <x:c r="P114" s="26">
        <x:v>0</x:v>
      </x:c>
      <x:c r="Q114" s="27" t="s">
        <x:v>1680</x:v>
      </x:c>
      <x:c r="R114" s="26">
        <x:v>3053</x:v>
      </x:c>
      <x:c r="S114" s="27" t="s">
        <x:v>1677</x:v>
      </x:c>
      <x:c r="T114" s="24" t="s">
        <x:v>857</x:v>
      </x:c>
      <x:c r="U114" s="24" t="s">
        <x:v>1399</x:v>
      </x:c>
    </x:row>
    <x:row r="115" ht="18" customHeight="1">
      <x:c r="A115" s="26">
        <x:v>1289</x:v>
      </x:c>
      <x:c r="B115" s="24" t="s">
        <x:v>128</x:v>
      </x:c>
      <x:c r="C115" s="24" t="s">
        <x:v>1681</x:v>
      </x:c>
      <x:c r="D115" s="24" t="s">
        <x:v>1676</x:v>
      </x:c>
      <x:c r="E115" s="24" t="s">
        <x:v>1476</x:v>
      </x:c>
      <x:c r="F115" s="24" t="s">
        <x:v>319</x:v>
      </x:c>
      <x:c r="G115" s="26">
        <x:v>45</x:v>
      </x:c>
      <x:c r="H115" s="26">
        <x:v>2212</x:v>
      </x:c>
      <x:c r="I115" s="26">
        <x:v>43</x:v>
      </x:c>
      <x:c r="J115" s="24" t="s">
        <x:v>334</x:v>
      </x:c>
      <x:c r="K115" s="24" t="s">
        <x:v>1412</x:v>
      </x:c>
      <x:c r="L115" s="26">
        <x:v>5</x:v>
      </x:c>
      <x:c r="M115" s="26">
        <x:v>3</x:v>
      </x:c>
      <x:c r="N115" s="26">
        <x:v>3</x:v>
      </x:c>
      <x:c r="O115" s="26">
        <x:v>2</x:v>
      </x:c>
      <x:c r="P115" s="26">
        <x:v>0</x:v>
      </x:c>
      <x:c r="Q115" s="27" t="s">
        <x:v>1473</x:v>
      </x:c>
      <x:c r="R115" s="26">
        <x:v>3053</x:v>
      </x:c>
      <x:c r="S115" s="27" t="s">
        <x:v>1677</x:v>
      </x:c>
      <x:c r="T115" s="24" t="s">
        <x:v>857</x:v>
      </x:c>
      <x:c r="U115" s="24" t="s">
        <x:v>1399</x:v>
      </x:c>
    </x:row>
    <x:row r="116" ht="18" customHeight="1">
      <x:c r="A116" s="26">
        <x:v>1293</x:v>
      </x:c>
      <x:c r="B116" s="24" t="s">
        <x:v>98</x:v>
      </x:c>
      <x:c r="C116" s="24" t="s">
        <x:v>1682</x:v>
      </x:c>
      <x:c r="D116" s="24" t="s">
        <x:v>1676</x:v>
      </x:c>
      <x:c r="E116" s="24" t="s">
        <x:v>1444</x:v>
      </x:c>
      <x:c r="F116" s="24" t="s">
        <x:v>319</x:v>
      </x:c>
      <x:c r="G116" s="26">
        <x:v>45</x:v>
      </x:c>
      <x:c r="H116" s="26">
        <x:v>2290</x:v>
      </x:c>
      <x:c r="I116" s="26">
        <x:v>46</x:v>
      </x:c>
      <x:c r="J116" s="24" t="s">
        <x:v>334</x:v>
      </x:c>
      <x:c r="K116" s="24" t="s">
        <x:v>1412</x:v>
      </x:c>
      <x:c r="L116" s="26">
        <x:v>5</x:v>
      </x:c>
      <x:c r="M116" s="26">
        <x:v>4</x:v>
      </x:c>
      <x:c r="N116" s="26">
        <x:v>4</x:v>
      </x:c>
      <x:c r="O116" s="26">
        <x:v>1</x:v>
      </x:c>
      <x:c r="P116" s="26">
        <x:v>0</x:v>
      </x:c>
      <x:c r="Q116" s="27" t="s">
        <x:v>1473</x:v>
      </x:c>
      <x:c r="R116" s="26">
        <x:v>3052</x:v>
      </x:c>
      <x:c r="S116" s="27"/>
      <x:c r="T116" s="24" t="s">
        <x:v>857</x:v>
      </x:c>
      <x:c r="U116" s="24" t="s">
        <x:v>1399</x:v>
      </x:c>
    </x:row>
    <x:row r="117" ht="18" customHeight="1">
      <x:c r="A117" s="26">
        <x:v>1297</x:v>
      </x:c>
      <x:c r="B117" s="24" t="s">
        <x:v>379</x:v>
      </x:c>
      <x:c r="C117" s="24" t="s">
        <x:v>1683</x:v>
      </x:c>
      <x:c r="D117" s="24" t="s">
        <x:v>1684</x:v>
      </x:c>
      <x:c r="E117" s="24" t="s">
        <x:v>1685</x:v>
      </x:c>
      <x:c r="F117" s="24" t="s">
        <x:v>319</x:v>
      </x:c>
      <x:c r="G117" s="26">
        <x:v>55</x:v>
      </x:c>
      <x:c r="H117" s="26">
        <x:v>1272</x:v>
      </x:c>
      <x:c r="I117" s="26">
        <x:v>31</x:v>
      </x:c>
      <x:c r="J117" s="24" t="s">
        <x:v>1253</x:v>
      </x:c>
      <x:c r="K117" s="24" t="s">
        <x:v>1470</x:v>
      </x:c>
      <x:c r="L117" s="26">
        <x:v>5</x:v>
      </x:c>
      <x:c r="M117" s="26">
        <x:v>1</x:v>
      </x:c>
      <x:c r="N117" s="26">
        <x:v>2</x:v>
      </x:c>
      <x:c r="O117" s="26">
        <x:v>2</x:v>
      </x:c>
      <x:c r="P117" s="26">
        <x:v>0</x:v>
      </x:c>
      <x:c r="Q117" s="27" t="s">
        <x:v>1575</x:v>
      </x:c>
      <x:c r="R117" s="26">
        <x:v>2492</x:v>
      </x:c>
      <x:c r="S117" s="27"/>
      <x:c r="T117" s="24" t="s">
        <x:v>1398</x:v>
      </x:c>
      <x:c r="U117" s="24" t="s">
        <x:v>1399</x:v>
      </x:c>
    </x:row>
    <x:row r="118" ht="18" customHeight="1">
      <x:c r="A118" s="26">
        <x:v>1299</x:v>
      </x:c>
      <x:c r="B118" s="24" t="s">
        <x:v>156</x:v>
      </x:c>
      <x:c r="C118" s="24" t="s">
        <x:v>1686</x:v>
      </x:c>
      <x:c r="D118" s="24" t="s">
        <x:v>1684</x:v>
      </x:c>
      <x:c r="E118" s="24" t="s">
        <x:v>1687</x:v>
      </x:c>
      <x:c r="F118" s="24" t="s">
        <x:v>319</x:v>
      </x:c>
      <x:c r="G118" s="26">
        <x:v>55</x:v>
      </x:c>
      <x:c r="H118" s="26">
        <x:v>1606</x:v>
      </x:c>
      <x:c r="I118" s="26">
        <x:v>38</x:v>
      </x:c>
      <x:c r="J118" s="24" t="s">
        <x:v>1001</x:v>
      </x:c>
      <x:c r="K118" s="24" t="s">
        <x:v>1470</x:v>
      </x:c>
      <x:c r="L118" s="26">
        <x:v>6</x:v>
      </x:c>
      <x:c r="M118" s="26">
        <x:v>3</x:v>
      </x:c>
      <x:c r="N118" s="26">
        <x:v>3</x:v>
      </x:c>
      <x:c r="O118" s="26">
        <x:v>1</x:v>
      </x:c>
      <x:c r="P118" s="26">
        <x:v>0</x:v>
      </x:c>
      <x:c r="Q118" s="27" t="s">
        <x:v>1688</x:v>
      </x:c>
      <x:c r="R118" s="26">
        <x:v>2751</x:v>
      </x:c>
      <x:c r="S118" s="27"/>
      <x:c r="T118" s="24" t="s">
        <x:v>1398</x:v>
      </x:c>
      <x:c r="U118" s="24" t="s">
        <x:v>1399</x:v>
      </x:c>
    </x:row>
    <x:row r="119" ht="18" customHeight="1">
      <x:c r="A119" s="26">
        <x:v>1310</x:v>
      </x:c>
      <x:c r="B119" s="24" t="s">
        <x:v>154</x:v>
      </x:c>
      <x:c r="C119" s="24" t="s">
        <x:v>1689</x:v>
      </x:c>
      <x:c r="D119" s="24" t="s">
        <x:v>154</x:v>
      </x:c>
      <x:c r="E119" s="24" t="s">
        <x:v>1435</x:v>
      </x:c>
      <x:c r="F119" s="24" t="s">
        <x:v>319</x:v>
      </x:c>
      <x:c r="G119" s="26">
        <x:v>40</x:v>
      </x:c>
      <x:c r="H119" s="26">
        <x:v>1608</x:v>
      </x:c>
      <x:c r="I119" s="26">
        <x:v>31</x:v>
      </x:c>
      <x:c r="J119" s="24" t="s">
        <x:v>975</x:v>
      </x:c>
      <x:c r="K119" s="24" t="s">
        <x:v>1553</x:v>
      </x:c>
      <x:c r="L119" s="26">
        <x:v>4</x:v>
      </x:c>
      <x:c r="M119" s="26">
        <x:v>3</x:v>
      </x:c>
      <x:c r="N119" s="26">
        <x:v>3</x:v>
      </x:c>
      <x:c r="O119" s="26">
        <x:v>2</x:v>
      </x:c>
      <x:c r="P119" s="26">
        <x:v>0</x:v>
      </x:c>
      <x:c r="Q119" s="27" t="s">
        <x:v>1690</x:v>
      </x:c>
      <x:c r="R119" s="26">
        <x:v>2852</x:v>
      </x:c>
      <x:c r="S119" s="27"/>
      <x:c r="T119" s="24" t="s">
        <x:v>857</x:v>
      </x:c>
      <x:c r="U119" s="24" t="s">
        <x:v>1399</x:v>
      </x:c>
    </x:row>
    <x:row r="120" ht="18" customHeight="1">
      <x:c r="A120" s="26">
        <x:v>1311</x:v>
      </x:c>
      <x:c r="B120" s="24" t="s">
        <x:v>142</x:v>
      </x:c>
      <x:c r="C120" s="24" t="s">
        <x:v>142</x:v>
      </x:c>
      <x:c r="D120" s="24" t="s">
        <x:v>154</x:v>
      </x:c>
      <x:c r="E120" s="24">
        <x:v>2</x:v>
      </x:c>
      <x:c r="F120" s="24" t="s">
        <x:v>319</x:v>
      </x:c>
      <x:c r="G120" s="26">
        <x:v>40</x:v>
      </x:c>
      <x:c r="H120" s="26">
        <x:v>1516</x:v>
      </x:c>
      <x:c r="I120" s="26">
        <x:v>30</x:v>
      </x:c>
      <x:c r="J120" s="24" t="s">
        <x:v>334</x:v>
      </x:c>
      <x:c r="K120" s="24" t="s">
        <x:v>1553</x:v>
      </x:c>
      <x:c r="L120" s="26">
        <x:v>4</x:v>
      </x:c>
      <x:c r="M120" s="26">
        <x:v>3</x:v>
      </x:c>
      <x:c r="N120" s="26">
        <x:v>3</x:v>
      </x:c>
      <x:c r="O120" s="26">
        <x:v>1</x:v>
      </x:c>
      <x:c r="P120" s="26">
        <x:v>0</x:v>
      </x:c>
      <x:c r="Q120" s="27" t="s">
        <x:v>1656</x:v>
      </x:c>
      <x:c r="R120" s="26">
        <x:v>2973</x:v>
      </x:c>
      <x:c r="S120" s="27"/>
      <x:c r="T120" s="24" t="s">
        <x:v>857</x:v>
      </x:c>
      <x:c r="U120" s="24" t="s">
        <x:v>1399</x:v>
      </x:c>
    </x:row>
    <x:row r="121" ht="18" customHeight="1">
      <x:c r="A121" s="26">
        <x:v>1312</x:v>
      </x:c>
      <x:c r="B121" s="24" t="s">
        <x:v>143</x:v>
      </x:c>
      <x:c r="C121" s="24" t="s">
        <x:v>143</x:v>
      </x:c>
      <x:c r="D121" s="24" t="s">
        <x:v>154</x:v>
      </x:c>
      <x:c r="E121" s="24">
        <x:v>3</x:v>
      </x:c>
      <x:c r="F121" s="24" t="s">
        <x:v>319</x:v>
      </x:c>
      <x:c r="G121" s="26">
        <x:v>40</x:v>
      </x:c>
      <x:c r="H121" s="26">
        <x:v>1532</x:v>
      </x:c>
      <x:c r="I121" s="26">
        <x:v>30</x:v>
      </x:c>
      <x:c r="J121" s="24" t="s">
        <x:v>334</x:v>
      </x:c>
      <x:c r="K121" s="24" t="s">
        <x:v>1553</x:v>
      </x:c>
      <x:c r="L121" s="26">
        <x:v>4</x:v>
      </x:c>
      <x:c r="M121" s="26">
        <x:v>3</x:v>
      </x:c>
      <x:c r="N121" s="26">
        <x:v>3</x:v>
      </x:c>
      <x:c r="O121" s="26">
        <x:v>1</x:v>
      </x:c>
      <x:c r="P121" s="26">
        <x:v>0</x:v>
      </x:c>
      <x:c r="Q121" s="27" t="s">
        <x:v>1656</x:v>
      </x:c>
      <x:c r="R121" s="26">
        <x:v>3060</x:v>
      </x:c>
      <x:c r="S121" s="27" t="s">
        <x:v>1677</x:v>
      </x:c>
      <x:c r="T121" s="24" t="s">
        <x:v>857</x:v>
      </x:c>
      <x:c r="U121" s="24" t="s">
        <x:v>1399</x:v>
      </x:c>
    </x:row>
    <x:row r="122" ht="18" customHeight="1">
      <x:c r="A122" s="26">
        <x:v>1313</x:v>
      </x:c>
      <x:c r="B122" s="24" t="s">
        <x:v>144</x:v>
      </x:c>
      <x:c r="C122" s="24" t="s">
        <x:v>144</x:v>
      </x:c>
      <x:c r="D122" s="24" t="s">
        <x:v>154</x:v>
      </x:c>
      <x:c r="E122" s="24">
        <x:v>4</x:v>
      </x:c>
      <x:c r="F122" s="24" t="s">
        <x:v>319</x:v>
      </x:c>
      <x:c r="G122" s="26">
        <x:v>40</x:v>
      </x:c>
      <x:c r="H122" s="26">
        <x:v>1475</x:v>
      </x:c>
      <x:c r="I122" s="26">
        <x:v>30</x:v>
      </x:c>
      <x:c r="J122" s="24" t="s">
        <x:v>334</x:v>
      </x:c>
      <x:c r="K122" s="24" t="s">
        <x:v>1553</x:v>
      </x:c>
      <x:c r="L122" s="26">
        <x:v>4</x:v>
      </x:c>
      <x:c r="M122" s="26">
        <x:v>3</x:v>
      </x:c>
      <x:c r="N122" s="26">
        <x:v>3</x:v>
      </x:c>
      <x:c r="O122" s="26">
        <x:v>2</x:v>
      </x:c>
      <x:c r="P122" s="26">
        <x:v>0</x:v>
      </x:c>
      <x:c r="Q122" s="27" t="s">
        <x:v>1656</x:v>
      </x:c>
      <x:c r="R122" s="26">
        <x:v>3060</x:v>
      </x:c>
      <x:c r="S122" s="27" t="s">
        <x:v>1677</x:v>
      </x:c>
      <x:c r="T122" s="24" t="s">
        <x:v>857</x:v>
      </x:c>
      <x:c r="U122" s="24" t="s">
        <x:v>1399</x:v>
      </x:c>
    </x:row>
    <x:row r="123" ht="18" customHeight="1">
      <x:c r="A123" s="26">
        <x:v>1314</x:v>
      </x:c>
      <x:c r="B123" s="24" t="s">
        <x:v>145</x:v>
      </x:c>
      <x:c r="C123" s="24" t="s">
        <x:v>145</x:v>
      </x:c>
      <x:c r="D123" s="24" t="s">
        <x:v>154</x:v>
      </x:c>
      <x:c r="E123" s="24">
        <x:v>5</x:v>
      </x:c>
      <x:c r="F123" s="24" t="s">
        <x:v>319</x:v>
      </x:c>
      <x:c r="G123" s="26">
        <x:v>40</x:v>
      </x:c>
      <x:c r="H123" s="26">
        <x:v>1344</x:v>
      </x:c>
      <x:c r="I123" s="26">
        <x:v>29</x:v>
      </x:c>
      <x:c r="J123" s="24" t="s">
        <x:v>334</x:v>
      </x:c>
      <x:c r="K123" s="24" t="s">
        <x:v>1691</x:v>
      </x:c>
      <x:c r="L123" s="26">
        <x:v>4</x:v>
      </x:c>
      <x:c r="M123" s="26">
        <x:v>3</x:v>
      </x:c>
      <x:c r="N123" s="26">
        <x:v>3</x:v>
      </x:c>
      <x:c r="O123" s="26">
        <x:v>1</x:v>
      </x:c>
      <x:c r="P123" s="26">
        <x:v>0</x:v>
      </x:c>
      <x:c r="Q123" s="27" t="s">
        <x:v>1692</x:v>
      </x:c>
      <x:c r="R123" s="26">
        <x:v>3071</x:v>
      </x:c>
      <x:c r="S123" s="27" t="s">
        <x:v>1677</x:v>
      </x:c>
      <x:c r="T123" s="24" t="s">
        <x:v>857</x:v>
      </x:c>
      <x:c r="U123" s="24" t="s">
        <x:v>1399</x:v>
      </x:c>
    </x:row>
    <x:row r="124" ht="18" customHeight="1">
      <x:c r="A124" s="26">
        <x:v>1315</x:v>
      </x:c>
      <x:c r="B124" s="24" t="s">
        <x:v>146</x:v>
      </x:c>
      <x:c r="C124" s="24" t="s">
        <x:v>146</x:v>
      </x:c>
      <x:c r="D124" s="24" t="s">
        <x:v>154</x:v>
      </x:c>
      <x:c r="E124" s="24">
        <x:v>6</x:v>
      </x:c>
      <x:c r="F124" s="24" t="s">
        <x:v>319</x:v>
      </x:c>
      <x:c r="G124" s="26">
        <x:v>40</x:v>
      </x:c>
      <x:c r="H124" s="26">
        <x:v>1468</x:v>
      </x:c>
      <x:c r="I124" s="26">
        <x:v>27</x:v>
      </x:c>
      <x:c r="J124" s="24" t="s">
        <x:v>334</x:v>
      </x:c>
      <x:c r="K124" s="24" t="s">
        <x:v>1693</x:v>
      </x:c>
      <x:c r="L124" s="26">
        <x:v>4</x:v>
      </x:c>
      <x:c r="M124" s="26">
        <x:v>3</x:v>
      </x:c>
      <x:c r="N124" s="26">
        <x:v>2</x:v>
      </x:c>
      <x:c r="O124" s="26">
        <x:v>0</x:v>
      </x:c>
      <x:c r="P124" s="26">
        <x:v>0</x:v>
      </x:c>
      <x:c r="Q124" s="27" t="s">
        <x:v>1692</x:v>
      </x:c>
      <x:c r="R124" s="26">
        <x:v>3073</x:v>
      </x:c>
      <x:c r="S124" s="27" t="s">
        <x:v>1677</x:v>
      </x:c>
      <x:c r="T124" s="24" t="s">
        <x:v>857</x:v>
      </x:c>
      <x:c r="U124" s="24" t="s">
        <x:v>1399</x:v>
      </x:c>
    </x:row>
    <x:row r="125" ht="18" customHeight="1">
      <x:c r="A125" s="26">
        <x:v>1316</x:v>
      </x:c>
      <x:c r="B125" s="24" t="s">
        <x:v>147</x:v>
      </x:c>
      <x:c r="C125" s="24" t="s">
        <x:v>147</x:v>
      </x:c>
      <x:c r="D125" s="24" t="s">
        <x:v>154</x:v>
      </x:c>
      <x:c r="E125" s="24">
        <x:v>7</x:v>
      </x:c>
      <x:c r="F125" s="24" t="s">
        <x:v>319</x:v>
      </x:c>
      <x:c r="G125" s="26">
        <x:v>40</x:v>
      </x:c>
      <x:c r="H125" s="26">
        <x:v>1952</x:v>
      </x:c>
      <x:c r="I125" s="26">
        <x:v>42</x:v>
      </x:c>
      <x:c r="J125" s="24" t="s">
        <x:v>334</x:v>
      </x:c>
      <x:c r="K125" s="24" t="s">
        <x:v>1412</x:v>
      </x:c>
      <x:c r="L125" s="26">
        <x:v>4</x:v>
      </x:c>
      <x:c r="M125" s="26">
        <x:v>4</x:v>
      </x:c>
      <x:c r="N125" s="26">
        <x:v>4</x:v>
      </x:c>
      <x:c r="O125" s="26">
        <x:v>1</x:v>
      </x:c>
      <x:c r="P125" s="26">
        <x:v>0</x:v>
      </x:c>
      <x:c r="Q125" s="27" t="s">
        <x:v>1656</x:v>
      </x:c>
      <x:c r="R125" s="26">
        <x:v>3083</x:v>
      </x:c>
      <x:c r="S125" s="27" t="s">
        <x:v>1677</x:v>
      </x:c>
      <x:c r="T125" s="24" t="s">
        <x:v>857</x:v>
      </x:c>
      <x:c r="U125" s="24" t="s">
        <x:v>1399</x:v>
      </x:c>
    </x:row>
    <x:row r="126" ht="18" customHeight="1">
      <x:c r="A126" s="26">
        <x:v>1317</x:v>
      </x:c>
      <x:c r="B126" s="24" t="s">
        <x:v>148</x:v>
      </x:c>
      <x:c r="C126" s="24" t="s">
        <x:v>148</x:v>
      </x:c>
      <x:c r="D126" s="24" t="s">
        <x:v>154</x:v>
      </x:c>
      <x:c r="E126" s="24">
        <x:v>8</x:v>
      </x:c>
      <x:c r="F126" s="24" t="s">
        <x:v>319</x:v>
      </x:c>
      <x:c r="G126" s="26">
        <x:v>40</x:v>
      </x:c>
      <x:c r="H126" s="26">
        <x:v>1736</x:v>
      </x:c>
      <x:c r="I126" s="26">
        <x:v>32</x:v>
      </x:c>
      <x:c r="J126" s="24" t="s">
        <x:v>334</x:v>
      </x:c>
      <x:c r="K126" s="24" t="s">
        <x:v>1694</x:v>
      </x:c>
      <x:c r="L126" s="26">
        <x:v>4</x:v>
      </x:c>
      <x:c r="M126" s="26">
        <x:v>3</x:v>
      </x:c>
      <x:c r="N126" s="26">
        <x:v>3</x:v>
      </x:c>
      <x:c r="O126" s="26">
        <x:v>1</x:v>
      </x:c>
      <x:c r="P126" s="26">
        <x:v>0</x:v>
      </x:c>
      <x:c r="Q126" s="27" t="s">
        <x:v>1695</x:v>
      </x:c>
      <x:c r="R126" s="26">
        <x:v>3078</x:v>
      </x:c>
      <x:c r="S126" s="27" t="s">
        <x:v>1677</x:v>
      </x:c>
      <x:c r="T126" s="24" t="s">
        <x:v>857</x:v>
      </x:c>
      <x:c r="U126" s="24" t="s">
        <x:v>1399</x:v>
      </x:c>
    </x:row>
    <x:row r="127" ht="18" customHeight="1">
      <x:c r="A127" s="26">
        <x:v>1332</x:v>
      </x:c>
      <x:c r="B127" s="24" t="s">
        <x:v>227</x:v>
      </x:c>
      <x:c r="C127" s="24" t="s">
        <x:v>1696</x:v>
      </x:c>
      <x:c r="D127" s="24" t="s">
        <x:v>227</x:v>
      </x:c>
      <x:c r="E127" s="24" t="s">
        <x:v>1435</x:v>
      </x:c>
      <x:c r="F127" s="24" t="s">
        <x:v>318</x:v>
      </x:c>
      <x:c r="G127" s="26">
        <x:v>70</x:v>
      </x:c>
      <x:c r="H127" s="26">
        <x:v>2219</x:v>
      </x:c>
      <x:c r="I127" s="26">
        <x:v>45</x:v>
      </x:c>
      <x:c r="J127" s="24" t="s">
        <x:v>1001</x:v>
      </x:c>
      <x:c r="K127" s="24" t="s">
        <x:v>1500</x:v>
      </x:c>
      <x:c r="L127" s="26">
        <x:v>7</x:v>
      </x:c>
      <x:c r="M127" s="26">
        <x:v>5</x:v>
      </x:c>
      <x:c r="N127" s="26">
        <x:v>5</x:v>
      </x:c>
      <x:c r="O127" s="26">
        <x:v>4</x:v>
      </x:c>
      <x:c r="P127" s="26">
        <x:v>0</x:v>
      </x:c>
      <x:c r="Q127" s="27" t="s">
        <x:v>1428</x:v>
      </x:c>
      <x:c r="R127" s="26">
        <x:v>2947</x:v>
      </x:c>
      <x:c r="S127" s="27"/>
      <x:c r="T127" s="24" t="s">
        <x:v>857</x:v>
      </x:c>
      <x:c r="U127" s="24" t="s">
        <x:v>1399</x:v>
      </x:c>
    </x:row>
    <x:row r="128" ht="18" customHeight="1">
      <x:c r="A128" s="26">
        <x:v>1338</x:v>
      </x:c>
      <x:c r="B128" s="24" t="s">
        <x:v>393</x:v>
      </x:c>
      <x:c r="C128" s="24" t="s">
        <x:v>1697</x:v>
      </x:c>
      <x:c r="D128" s="24" t="s">
        <x:v>1698</x:v>
      </x:c>
      <x:c r="E128" s="24" t="s">
        <x:v>1699</x:v>
      </x:c>
      <x:c r="F128" s="24" t="s">
        <x:v>318</x:v>
      </x:c>
      <x:c r="G128" s="26">
        <x:v>70</x:v>
      </x:c>
      <x:c r="H128" s="26">
        <x:v>1418</x:v>
      </x:c>
      <x:c r="I128" s="26">
        <x:v>35</x:v>
      </x:c>
      <x:c r="J128" s="24" t="s">
        <x:v>1001</x:v>
      </x:c>
      <x:c r="K128" s="24" t="s">
        <x:v>1500</x:v>
      </x:c>
      <x:c r="L128" s="26">
        <x:v>6</x:v>
      </x:c>
      <x:c r="M128" s="26">
        <x:v>4</x:v>
      </x:c>
      <x:c r="N128" s="26">
        <x:v>4</x:v>
      </x:c>
      <x:c r="O128" s="26">
        <x:v>0</x:v>
      </x:c>
      <x:c r="P128" s="26">
        <x:v>0</x:v>
      </x:c>
      <x:c r="Q128" s="27" t="s">
        <x:v>1656</x:v>
      </x:c>
      <x:c r="R128" s="26">
        <x:v>2499</x:v>
      </x:c>
      <x:c r="S128" s="27"/>
      <x:c r="T128" s="24" t="s">
        <x:v>1398</x:v>
      </x:c>
      <x:c r="U128" s="24" t="s">
        <x:v>1399</x:v>
      </x:c>
    </x:row>
    <x:row r="129" ht="18" customHeight="1">
      <x:c r="A129" s="26">
        <x:v>1345</x:v>
      </x:c>
      <x:c r="B129" s="24" t="s">
        <x:v>216</x:v>
      </x:c>
      <x:c r="C129" s="24" t="s">
        <x:v>1700</x:v>
      </x:c>
      <x:c r="D129" s="24" t="s">
        <x:v>216</x:v>
      </x:c>
      <x:c r="E129" s="24" t="s">
        <x:v>1435</x:v>
      </x:c>
      <x:c r="F129" s="24" t="s">
        <x:v>318</x:v>
      </x:c>
      <x:c r="G129" s="26">
        <x:v>70</x:v>
      </x:c>
      <x:c r="H129" s="26">
        <x:v>2377</x:v>
      </x:c>
      <x:c r="I129" s="26">
        <x:v>41</x:v>
      </x:c>
      <x:c r="J129" s="24" t="s">
        <x:v>1001</x:v>
      </x:c>
      <x:c r="K129" s="24" t="s">
        <x:v>1500</x:v>
      </x:c>
      <x:c r="L129" s="26">
        <x:v>6</x:v>
      </x:c>
      <x:c r="M129" s="26">
        <x:v>4</x:v>
      </x:c>
      <x:c r="N129" s="26">
        <x:v>4</x:v>
      </x:c>
      <x:c r="O129" s="26">
        <x:v>4</x:v>
      </x:c>
      <x:c r="P129" s="26">
        <x:v>0</x:v>
      </x:c>
      <x:c r="Q129" s="27" t="s">
        <x:v>1656</x:v>
      </x:c>
      <x:c r="R129" s="26">
        <x:v>2889</x:v>
      </x:c>
      <x:c r="S129" s="27"/>
      <x:c r="T129" s="24" t="s">
        <x:v>857</x:v>
      </x:c>
      <x:c r="U129" s="24" t="s">
        <x:v>1399</x:v>
      </x:c>
    </x:row>
    <x:row r="130" ht="18" customHeight="1">
      <x:c r="A130" s="26">
        <x:v>1378</x:v>
      </x:c>
      <x:c r="B130" s="24" t="s">
        <x:v>37</x:v>
      </x:c>
      <x:c r="C130" s="24" t="s">
        <x:v>1701</x:v>
      </x:c>
      <x:c r="D130" s="24" t="s">
        <x:v>1702</x:v>
      </x:c>
      <x:c r="E130" s="24" t="s">
        <x:v>1469</x:v>
      </x:c>
      <x:c r="F130" s="24" t="s">
        <x:v>317</x:v>
      </x:c>
      <x:c r="G130" s="26">
        <x:v>30</x:v>
      </x:c>
      <x:c r="H130" s="26">
        <x:v>1117</x:v>
      </x:c>
      <x:c r="I130" s="26">
        <x:v>32</x:v>
      </x:c>
      <x:c r="J130" s="24" t="s">
        <x:v>334</x:v>
      </x:c>
      <x:c r="K130" s="24" t="s">
        <x:v>1703</x:v>
      </x:c>
      <x:c r="L130" s="26">
        <x:v>3</x:v>
      </x:c>
      <x:c r="M130" s="26">
        <x:v>3</x:v>
      </x:c>
      <x:c r="N130" s="26">
        <x:v>3</x:v>
      </x:c>
      <x:c r="O130" s="26">
        <x:v>0</x:v>
      </x:c>
      <x:c r="P130" s="26">
        <x:v>0</x:v>
      </x:c>
      <x:c r="Q130" s="27" t="s">
        <x:v>1660</x:v>
      </x:c>
      <x:c r="R130" s="26">
        <x:v>3037</x:v>
      </x:c>
      <x:c r="S130" s="27"/>
      <x:c r="T130" s="24" t="s">
        <x:v>857</x:v>
      </x:c>
      <x:c r="U130" s="24" t="s">
        <x:v>1399</x:v>
      </x:c>
    </x:row>
    <x:row r="131" ht="18" customHeight="1">
      <x:c r="A131" s="26">
        <x:v>1379</x:v>
      </x:c>
      <x:c r="B131" s="24" t="s">
        <x:v>59</x:v>
      </x:c>
      <x:c r="C131" s="24" t="s">
        <x:v>1704</x:v>
      </x:c>
      <x:c r="D131" s="24" t="s">
        <x:v>1702</x:v>
      </x:c>
      <x:c r="E131" s="24" t="s">
        <x:v>1441</x:v>
      </x:c>
      <x:c r="F131" s="24" t="s">
        <x:v>317</x:v>
      </x:c>
      <x:c r="G131" s="26">
        <x:v>30</x:v>
      </x:c>
      <x:c r="H131" s="26">
        <x:v>1076</x:v>
      </x:c>
      <x:c r="I131" s="26">
        <x:v>28</x:v>
      </x:c>
      <x:c r="J131" s="24" t="s">
        <x:v>334</x:v>
      </x:c>
      <x:c r="K131" s="24" t="s">
        <x:v>1703</x:v>
      </x:c>
      <x:c r="L131" s="26">
        <x:v>3</x:v>
      </x:c>
      <x:c r="M131" s="26">
        <x:v>2</x:v>
      </x:c>
      <x:c r="N131" s="26">
        <x:v>2</x:v>
      </x:c>
      <x:c r="O131" s="26">
        <x:v>0</x:v>
      </x:c>
      <x:c r="P131" s="26">
        <x:v>0</x:v>
      </x:c>
      <x:c r="Q131" s="27" t="s">
        <x:v>1705</x:v>
      </x:c>
      <x:c r="R131" s="26">
        <x:v>3037</x:v>
      </x:c>
      <x:c r="S131" s="27"/>
      <x:c r="T131" s="24" t="s">
        <x:v>857</x:v>
      </x:c>
      <x:c r="U131" s="24" t="s">
        <x:v>1399</x:v>
      </x:c>
    </x:row>
    <x:row r="132" ht="18" customHeight="1">
      <x:c r="A132" s="26">
        <x:v>1381</x:v>
      </x:c>
      <x:c r="B132" s="24" t="s">
        <x:v>43</x:v>
      </x:c>
      <x:c r="C132" s="24" t="s">
        <x:v>1706</x:v>
      </x:c>
      <x:c r="D132" s="24" t="s">
        <x:v>1702</x:v>
      </x:c>
      <x:c r="E132" s="24" t="s">
        <x:v>1476</x:v>
      </x:c>
      <x:c r="F132" s="24" t="s">
        <x:v>317</x:v>
      </x:c>
      <x:c r="G132" s="26">
        <x:v>30</x:v>
      </x:c>
      <x:c r="H132" s="26">
        <x:v>1080</x:v>
      </x:c>
      <x:c r="I132" s="26">
        <x:v>30</x:v>
      </x:c>
      <x:c r="J132" s="24" t="s">
        <x:v>975</x:v>
      </x:c>
      <x:c r="K132" s="24" t="s">
        <x:v>1703</x:v>
      </x:c>
      <x:c r="L132" s="26">
        <x:v>3</x:v>
      </x:c>
      <x:c r="M132" s="26">
        <x:v>2</x:v>
      </x:c>
      <x:c r="N132" s="26">
        <x:v>2</x:v>
      </x:c>
      <x:c r="O132" s="26">
        <x:v>2</x:v>
      </x:c>
      <x:c r="P132" s="26">
        <x:v>0</x:v>
      </x:c>
      <x:c r="Q132" s="27" t="s">
        <x:v>1707</x:v>
      </x:c>
      <x:c r="R132" s="26">
        <x:v>3037</x:v>
      </x:c>
      <x:c r="S132" s="27"/>
      <x:c r="T132" s="24" t="s">
        <x:v>857</x:v>
      </x:c>
      <x:c r="U132" s="24" t="s">
        <x:v>1399</x:v>
      </x:c>
    </x:row>
    <x:row r="133" ht="18" customHeight="1">
      <x:c r="A133" s="26">
        <x:v>1384</x:v>
      </x:c>
      <x:c r="B133" s="24" t="s">
        <x:v>31</x:v>
      </x:c>
      <x:c r="C133" s="24" t="s">
        <x:v>1708</x:v>
      </x:c>
      <x:c r="D133" s="24" t="s">
        <x:v>1702</x:v>
      </x:c>
      <x:c r="E133" s="24" t="s">
        <x:v>1444</x:v>
      </x:c>
      <x:c r="F133" s="24" t="s">
        <x:v>317</x:v>
      </x:c>
      <x:c r="G133" s="26">
        <x:v>30</x:v>
      </x:c>
      <x:c r="H133" s="26">
        <x:v>1334</x:v>
      </x:c>
      <x:c r="I133" s="26">
        <x:v>36</x:v>
      </x:c>
      <x:c r="J133" s="24" t="s">
        <x:v>334</x:v>
      </x:c>
      <x:c r="K133" s="24" t="s">
        <x:v>1703</x:v>
      </x:c>
      <x:c r="L133" s="26">
        <x:v>3</x:v>
      </x:c>
      <x:c r="M133" s="26">
        <x:v>3</x:v>
      </x:c>
      <x:c r="N133" s="26">
        <x:v>2</x:v>
      </x:c>
      <x:c r="O133" s="26">
        <x:v>1</x:v>
      </x:c>
      <x:c r="P133" s="26">
        <x:v>0</x:v>
      </x:c>
      <x:c r="Q133" s="27" t="s">
        <x:v>1709</x:v>
      </x:c>
      <x:c r="R133" s="26">
        <x:v>3037</x:v>
      </x:c>
      <x:c r="S133" s="27"/>
      <x:c r="T133" s="24" t="s">
        <x:v>857</x:v>
      </x:c>
      <x:c r="U133" s="24" t="s">
        <x:v>1399</x:v>
      </x:c>
    </x:row>
    <x:row r="134" ht="18" customHeight="1">
      <x:c r="A134" s="26">
        <x:v>1487</x:v>
      </x:c>
      <x:c r="B134" s="24" t="s">
        <x:v>346</x:v>
      </x:c>
      <x:c r="C134" s="24" t="s">
        <x:v>1710</x:v>
      </x:c>
      <x:c r="D134" s="24" t="s">
        <x:v>1711</x:v>
      </x:c>
      <x:c r="E134" s="24" t="s">
        <x:v>1712</x:v>
      </x:c>
      <x:c r="F134" s="24" t="s">
        <x:v>317</x:v>
      </x:c>
      <x:c r="G134" s="26">
        <x:v>30</x:v>
      </x:c>
      <x:c r="H134" s="26">
        <x:v>716</x:v>
      </x:c>
      <x:c r="I134" s="26">
        <x:v>25</x:v>
      </x:c>
      <x:c r="J134" s="24" t="s">
        <x:v>1411</x:v>
      </x:c>
      <x:c r="K134" s="24" t="s">
        <x:v>1492</x:v>
      </x:c>
      <x:c r="L134" s="26">
        <x:v>3</x:v>
      </x:c>
      <x:c r="M134" s="26">
        <x:v>2</x:v>
      </x:c>
      <x:c r="N134" s="26">
        <x:v>1</x:v>
      </x:c>
      <x:c r="O134" s="26">
        <x:v>0</x:v>
      </x:c>
      <x:c r="P134" s="26">
        <x:v>0</x:v>
      </x:c>
      <x:c r="Q134" s="27" t="s">
        <x:v>1432</x:v>
      </x:c>
      <x:c r="R134" s="26">
        <x:v>2632</x:v>
      </x:c>
      <x:c r="S134" s="27"/>
      <x:c r="T134" s="24" t="s">
        <x:v>1398</x:v>
      </x:c>
      <x:c r="U134" s="24" t="s">
        <x:v>1399</x:v>
      </x:c>
    </x:row>
    <x:row r="135" ht="18" customHeight="1">
      <x:c r="A135" s="26">
        <x:v>1514</x:v>
      </x:c>
      <x:c r="B135" s="24" t="s">
        <x:v>433</x:v>
      </x:c>
      <x:c r="C135" s="24" t="s">
        <x:v>1713</x:v>
      </x:c>
      <x:c r="D135" s="24" t="s">
        <x:v>1714</x:v>
      </x:c>
      <x:c r="E135" s="24" t="s">
        <x:v>1715</x:v>
      </x:c>
      <x:c r="F135" s="24" t="s">
        <x:v>324</x:v>
      </x:c>
      <x:c r="G135" s="26">
        <x:v>90</x:v>
      </x:c>
      <x:c r="H135" s="26">
        <x:v>2227</x:v>
      </x:c>
      <x:c r="I135" s="26">
        <x:v>48</x:v>
      </x:c>
      <x:c r="J135" s="24" t="s">
        <x:v>1253</x:v>
      </x:c>
      <x:c r="K135" s="24" t="s">
        <x:v>1459</x:v>
      </x:c>
      <x:c r="L135" s="26">
        <x:v>9</x:v>
      </x:c>
      <x:c r="M135" s="26">
        <x:v>3</x:v>
      </x:c>
      <x:c r="N135" s="26">
        <x:v>4</x:v>
      </x:c>
      <x:c r="O135" s="26">
        <x:v>3</x:v>
      </x:c>
      <x:c r="P135" s="26">
        <x:v>0</x:v>
      </x:c>
      <x:c r="Q135" s="27" t="s">
        <x:v>1572</x:v>
      </x:c>
      <x:c r="R135" s="26">
        <x:v>2592</x:v>
      </x:c>
      <x:c r="S135" s="27"/>
      <x:c r="T135" s="24" t="s">
        <x:v>1398</x:v>
      </x:c>
      <x:c r="U135" s="24" t="s">
        <x:v>1399</x:v>
      </x:c>
    </x:row>
    <x:row r="136" ht="18" customHeight="1">
      <x:c r="A136" s="26">
        <x:v>1516</x:v>
      </x:c>
      <x:c r="B136" s="24" t="s">
        <x:v>300</x:v>
      </x:c>
      <x:c r="C136" s="24" t="s">
        <x:v>1716</x:v>
      </x:c>
      <x:c r="D136" s="24" t="s">
        <x:v>1714</x:v>
      </x:c>
      <x:c r="E136" s="24" t="s">
        <x:v>1717</x:v>
      </x:c>
      <x:c r="F136" s="24" t="s">
        <x:v>324</x:v>
      </x:c>
      <x:c r="G136" s="26">
        <x:v>90</x:v>
      </x:c>
      <x:c r="H136" s="26">
        <x:v>2335</x:v>
      </x:c>
      <x:c r="I136" s="26">
        <x:v>54</x:v>
      </x:c>
      <x:c r="J136" s="24" t="s">
        <x:v>975</x:v>
      </x:c>
      <x:c r="K136" s="24" t="s">
        <x:v>1459</x:v>
      </x:c>
      <x:c r="L136" s="26">
        <x:v>9</x:v>
      </x:c>
      <x:c r="M136" s="26">
        <x:v>5</x:v>
      </x:c>
      <x:c r="N136" s="26">
        <x:v>6</x:v>
      </x:c>
      <x:c r="O136" s="26">
        <x:v>4</x:v>
      </x:c>
      <x:c r="P136" s="26">
        <x:v>0</x:v>
      </x:c>
      <x:c r="Q136" s="27" t="s">
        <x:v>1572</x:v>
      </x:c>
      <x:c r="R136" s="26">
        <x:v>2598</x:v>
      </x:c>
      <x:c r="S136" s="27"/>
      <x:c r="T136" s="24" t="s">
        <x:v>1398</x:v>
      </x:c>
      <x:c r="U136" s="24" t="s">
        <x:v>1399</x:v>
      </x:c>
    </x:row>
    <x:row r="137" ht="18" customHeight="1">
      <x:c r="A137" s="26">
        <x:v>1524</x:v>
      </x:c>
      <x:c r="B137" s="24" t="s">
        <x:v>287</x:v>
      </x:c>
      <x:c r="C137" s="24" t="s">
        <x:v>1718</x:v>
      </x:c>
      <x:c r="D137" s="24" t="s">
        <x:v>287</x:v>
      </x:c>
      <x:c r="E137" s="24" t="s">
        <x:v>1435</x:v>
      </x:c>
      <x:c r="F137" s="24" t="s">
        <x:v>324</x:v>
      </x:c>
      <x:c r="G137" s="26">
        <x:v>90</x:v>
      </x:c>
      <x:c r="H137" s="26">
        <x:v>2979</x:v>
      </x:c>
      <x:c r="I137" s="26">
        <x:v>59</x:v>
      </x:c>
      <x:c r="J137" s="24" t="s">
        <x:v>975</x:v>
      </x:c>
      <x:c r="K137" s="24" t="s">
        <x:v>1459</x:v>
      </x:c>
      <x:c r="L137" s="26">
        <x:v>9</x:v>
      </x:c>
      <x:c r="M137" s="26">
        <x:v>7</x:v>
      </x:c>
      <x:c r="N137" s="26">
        <x:v>7</x:v>
      </x:c>
      <x:c r="O137" s="26">
        <x:v>4</x:v>
      </x:c>
      <x:c r="P137" s="26">
        <x:v>0</x:v>
      </x:c>
      <x:c r="Q137" s="27" t="s">
        <x:v>1572</x:v>
      </x:c>
      <x:c r="R137" s="26">
        <x:v>2858</x:v>
      </x:c>
      <x:c r="S137" s="27"/>
      <x:c r="T137" s="24" t="s">
        <x:v>857</x:v>
      </x:c>
      <x:c r="U137" s="24" t="s">
        <x:v>1399</x:v>
      </x:c>
    </x:row>
    <x:row r="138" ht="18" customHeight="1">
      <x:c r="A138" s="26">
        <x:v>1541</x:v>
      </x:c>
      <x:c r="B138" s="24" t="s">
        <x:v>137</x:v>
      </x:c>
      <x:c r="C138" s="24" t="s">
        <x:v>1719</x:v>
      </x:c>
      <x:c r="D138" s="24" t="s">
        <x:v>1720</x:v>
      </x:c>
      <x:c r="E138" s="24" t="s">
        <x:v>1721</x:v>
      </x:c>
      <x:c r="F138" s="24" t="s">
        <x:v>319</x:v>
      </x:c>
      <x:c r="G138" s="26">
        <x:v>55</x:v>
      </x:c>
      <x:c r="H138" s="26">
        <x:v>1413</x:v>
      </x:c>
      <x:c r="I138" s="26">
        <x:v>36</x:v>
      </x:c>
      <x:c r="J138" s="24" t="s">
        <x:v>947</x:v>
      </x:c>
      <x:c r="K138" s="24" t="s">
        <x:v>1396</x:v>
      </x:c>
      <x:c r="L138" s="26">
        <x:v>6</x:v>
      </x:c>
      <x:c r="M138" s="26">
        <x:v>2</x:v>
      </x:c>
      <x:c r="N138" s="26">
        <x:v>3</x:v>
      </x:c>
      <x:c r="O138" s="26">
        <x:v>3</x:v>
      </x:c>
      <x:c r="P138" s="26">
        <x:v>0</x:v>
      </x:c>
      <x:c r="Q138" s="27" t="s">
        <x:v>1722</x:v>
      </x:c>
      <x:c r="R138" s="26">
        <x:v>2795</x:v>
      </x:c>
      <x:c r="S138" s="27"/>
      <x:c r="T138" s="24" t="s">
        <x:v>1398</x:v>
      </x:c>
      <x:c r="U138" s="24" t="s">
        <x:v>1399</x:v>
      </x:c>
    </x:row>
    <x:row r="139" ht="18" customHeight="1">
      <x:c r="A139" s="26">
        <x:v>1542</x:v>
      </x:c>
      <x:c r="B139" s="24" t="s">
        <x:v>141</x:v>
      </x:c>
      <x:c r="C139" s="24" t="s">
        <x:v>1723</x:v>
      </x:c>
      <x:c r="D139" s="24" t="s">
        <x:v>1720</x:v>
      </x:c>
      <x:c r="E139" s="24" t="s">
        <x:v>1724</x:v>
      </x:c>
      <x:c r="F139" s="24" t="s">
        <x:v>319</x:v>
      </x:c>
      <x:c r="G139" s="26">
        <x:v>55</x:v>
      </x:c>
      <x:c r="H139" s="26">
        <x:v>1377</x:v>
      </x:c>
      <x:c r="I139" s="26">
        <x:v>32</x:v>
      </x:c>
      <x:c r="J139" s="24" t="s">
        <x:v>947</x:v>
      </x:c>
      <x:c r="K139" s="24" t="s">
        <x:v>1396</x:v>
      </x:c>
      <x:c r="L139" s="26">
        <x:v>6</x:v>
      </x:c>
      <x:c r="M139" s="26">
        <x:v>3</x:v>
      </x:c>
      <x:c r="N139" s="26">
        <x:v>3</x:v>
      </x:c>
      <x:c r="O139" s="26">
        <x:v>2</x:v>
      </x:c>
      <x:c r="P139" s="26">
        <x:v>0</x:v>
      </x:c>
      <x:c r="Q139" s="27" t="s">
        <x:v>1656</x:v>
      </x:c>
      <x:c r="R139" s="26">
        <x:v>2821</x:v>
      </x:c>
      <x:c r="S139" s="27"/>
      <x:c r="T139" s="24" t="s">
        <x:v>1398</x:v>
      </x:c>
      <x:c r="U139" s="24" t="s">
        <x:v>1399</x:v>
      </x:c>
    </x:row>
    <x:row r="140" ht="18" customHeight="1">
      <x:c r="A140" s="26">
        <x:v>1552</x:v>
      </x:c>
      <x:c r="B140" s="24" t="s">
        <x:v>381</x:v>
      </x:c>
      <x:c r="C140" s="24" t="s">
        <x:v>1725</x:v>
      </x:c>
      <x:c r="D140" s="24" t="s">
        <x:v>1726</x:v>
      </x:c>
      <x:c r="E140" s="24" t="s">
        <x:v>1727</x:v>
      </x:c>
      <x:c r="F140" s="24" t="s">
        <x:v>319</x:v>
      </x:c>
      <x:c r="G140" s="26">
        <x:v>50</x:v>
      </x:c>
      <x:c r="H140" s="26">
        <x:v>1041</x:v>
      </x:c>
      <x:c r="I140" s="26">
        <x:v>28</x:v>
      </x:c>
      <x:c r="J140" s="24" t="s">
        <x:v>928</x:v>
      </x:c>
      <x:c r="K140" s="24" t="s">
        <x:v>1396</x:v>
      </x:c>
      <x:c r="L140" s="26">
        <x:v>5</x:v>
      </x:c>
      <x:c r="M140" s="26">
        <x:v>4</x:v>
      </x:c>
      <x:c r="N140" s="26">
        <x:v>3</x:v>
      </x:c>
      <x:c r="O140" s="26">
        <x:v>0</x:v>
      </x:c>
      <x:c r="P140" s="26">
        <x:v>0</x:v>
      </x:c>
      <x:c r="Q140" s="27" t="s">
        <x:v>1728</x:v>
      </x:c>
      <x:c r="R140" s="26">
        <x:v>2572</x:v>
      </x:c>
      <x:c r="S140" s="27"/>
      <x:c r="T140" s="24" t="s">
        <x:v>1398</x:v>
      </x:c>
      <x:c r="U140" s="24" t="s">
        <x:v>1399</x:v>
      </x:c>
    </x:row>
    <x:row r="141" ht="18" customHeight="1">
      <x:c r="A141" s="26">
        <x:v>1561</x:v>
      </x:c>
      <x:c r="B141" s="24" t="s">
        <x:v>369</x:v>
      </x:c>
      <x:c r="C141" s="24" t="s">
        <x:v>1729</x:v>
      </x:c>
      <x:c r="D141" s="24" t="s">
        <x:v>1726</x:v>
      </x:c>
      <x:c r="E141" s="24" t="s">
        <x:v>1730</x:v>
      </x:c>
      <x:c r="F141" s="24" t="s">
        <x:v>319</x:v>
      </x:c>
      <x:c r="G141" s="26">
        <x:v>50</x:v>
      </x:c>
      <x:c r="H141" s="26">
        <x:v>1056</x:v>
      </x:c>
      <x:c r="I141" s="26">
        <x:v>27</x:v>
      </x:c>
      <x:c r="J141" s="24" t="s">
        <x:v>928</x:v>
      </x:c>
      <x:c r="K141" s="24" t="s">
        <x:v>1396</x:v>
      </x:c>
      <x:c r="L141" s="26">
        <x:v>5</x:v>
      </x:c>
      <x:c r="M141" s="26">
        <x:v>3</x:v>
      </x:c>
      <x:c r="N141" s="26">
        <x:v>3</x:v>
      </x:c>
      <x:c r="O141" s="26">
        <x:v>0</x:v>
      </x:c>
      <x:c r="P141" s="26">
        <x:v>0</x:v>
      </x:c>
      <x:c r="Q141" s="27" t="s">
        <x:v>1731</x:v>
      </x:c>
      <x:c r="R141" s="26">
        <x:v>3046</x:v>
      </x:c>
      <x:c r="S141" s="27"/>
      <x:c r="T141" s="24" t="s">
        <x:v>1398</x:v>
      </x:c>
      <x:c r="U141" s="24" t="s">
        <x:v>1399</x:v>
      </x:c>
    </x:row>
    <x:row r="142" ht="18" customHeight="1">
      <x:c r="A142" s="26">
        <x:v>1568</x:v>
      </x:c>
      <x:c r="B142" s="24" t="s">
        <x:v>138</x:v>
      </x:c>
      <x:c r="C142" s="24" t="s">
        <x:v>1732</x:v>
      </x:c>
      <x:c r="D142" s="24" t="s">
        <x:v>138</x:v>
      </x:c>
      <x:c r="E142" s="24" t="s">
        <x:v>1435</x:v>
      </x:c>
      <x:c r="F142" s="24" t="s">
        <x:v>319</x:v>
      </x:c>
      <x:c r="G142" s="26">
        <x:v>50</x:v>
      </x:c>
      <x:c r="H142" s="26">
        <x:v>1679</x:v>
      </x:c>
      <x:c r="I142" s="26">
        <x:v>26</x:v>
      </x:c>
      <x:c r="J142" s="24" t="s">
        <x:v>945</x:v>
      </x:c>
      <x:c r="K142" s="24" t="s">
        <x:v>1500</x:v>
      </x:c>
      <x:c r="L142" s="26">
        <x:v>3</x:v>
      </x:c>
      <x:c r="M142" s="26">
        <x:v>4</x:v>
      </x:c>
      <x:c r="N142" s="26">
        <x:v>4</x:v>
      </x:c>
      <x:c r="O142" s="26">
        <x:v>0</x:v>
      </x:c>
      <x:c r="P142" s="26">
        <x:v>0</x:v>
      </x:c>
      <x:c r="Q142" s="27" t="s">
        <x:v>1656</x:v>
      </x:c>
      <x:c r="R142" s="26">
        <x:v>2856</x:v>
      </x:c>
      <x:c r="S142" s="27"/>
      <x:c r="T142" s="24" t="s">
        <x:v>857</x:v>
      </x:c>
      <x:c r="U142" s="24" t="s">
        <x:v>1399</x:v>
      </x:c>
    </x:row>
    <x:row r="143" ht="18" customHeight="1">
      <x:c r="A143" s="26">
        <x:v>1585</x:v>
      </x:c>
      <x:c r="B143" s="24" t="s">
        <x:v>345</x:v>
      </x:c>
      <x:c r="C143" s="24" t="s">
        <x:v>1733</x:v>
      </x:c>
      <x:c r="D143" s="24" t="s">
        <x:v>1734</x:v>
      </x:c>
      <x:c r="E143" s="24" t="s">
        <x:v>1735</x:v>
      </x:c>
      <x:c r="F143" s="24" t="s">
        <x:v>317</x:v>
      </x:c>
      <x:c r="G143" s="26">
        <x:v>30</x:v>
      </x:c>
      <x:c r="H143" s="26">
        <x:v>636</x:v>
      </x:c>
      <x:c r="I143" s="26">
        <x:v>18</x:v>
      </x:c>
      <x:c r="J143" s="24" t="s">
        <x:v>1411</x:v>
      </x:c>
      <x:c r="K143" s="24" t="s">
        <x:v>1492</x:v>
      </x:c>
      <x:c r="L143" s="26">
        <x:v>1</x:v>
      </x:c>
      <x:c r="M143" s="26">
        <x:v>1</x:v>
      </x:c>
      <x:c r="N143" s="26">
        <x:v>1</x:v>
      </x:c>
      <x:c r="O143" s="26">
        <x:v>1</x:v>
      </x:c>
      <x:c r="P143" s="26">
        <x:v>0</x:v>
      </x:c>
      <x:c r="Q143" s="27" t="s">
        <x:v>1432</x:v>
      </x:c>
      <x:c r="R143" s="26">
        <x:v>2620</x:v>
      </x:c>
      <x:c r="S143" s="27"/>
      <x:c r="T143" s="24" t="s">
        <x:v>1398</x:v>
      </x:c>
      <x:c r="U143" s="24" t="s">
        <x:v>1399</x:v>
      </x:c>
    </x:row>
    <x:row r="144" ht="18" customHeight="1">
      <x:c r="A144" s="26">
        <x:v>1589</x:v>
      </x:c>
      <x:c r="B144" s="24" t="s">
        <x:v>347</x:v>
      </x:c>
      <x:c r="C144" s="24" t="s">
        <x:v>1736</x:v>
      </x:c>
      <x:c r="D144" s="24" t="s">
        <x:v>1734</x:v>
      </x:c>
      <x:c r="E144" s="24" t="s">
        <x:v>1737</x:v>
      </x:c>
      <x:c r="F144" s="24" t="s">
        <x:v>317</x:v>
      </x:c>
      <x:c r="G144" s="26">
        <x:v>30</x:v>
      </x:c>
      <x:c r="H144" s="26">
        <x:v>611</x:v>
      </x:c>
      <x:c r="I144" s="26">
        <x:v>18</x:v>
      </x:c>
      <x:c r="J144" s="24" t="s">
        <x:v>1411</x:v>
      </x:c>
      <x:c r="K144" s="24" t="s">
        <x:v>1549</x:v>
      </x:c>
      <x:c r="L144" s="26">
        <x:v>2</x:v>
      </x:c>
      <x:c r="M144" s="26">
        <x:v>1</x:v>
      </x:c>
      <x:c r="N144" s="26">
        <x:v>1</x:v>
      </x:c>
      <x:c r="O144" s="26">
        <x:v>1</x:v>
      </x:c>
      <x:c r="P144" s="26">
        <x:v>0</x:v>
      </x:c>
      <x:c r="Q144" s="27" t="s">
        <x:v>1540</x:v>
      </x:c>
      <x:c r="R144" s="26">
        <x:v>3052</x:v>
      </x:c>
      <x:c r="S144" s="27"/>
      <x:c r="T144" s="24" t="s">
        <x:v>1398</x:v>
      </x:c>
      <x:c r="U144" s="24" t="s">
        <x:v>1399</x:v>
      </x:c>
    </x:row>
    <x:row r="145" ht="18" customHeight="1">
      <x:c r="A145" s="26">
        <x:v>1602</x:v>
      </x:c>
      <x:c r="B145" s="24" t="s">
        <x:v>80</x:v>
      </x:c>
      <x:c r="C145" s="24" t="s">
        <x:v>1738</x:v>
      </x:c>
      <x:c r="D145" s="24" t="s">
        <x:v>80</x:v>
      </x:c>
      <x:c r="E145" s="24" t="s">
        <x:v>1435</x:v>
      </x:c>
      <x:c r="F145" s="24" t="s">
        <x:v>317</x:v>
      </x:c>
      <x:c r="G145" s="26">
        <x:v>25</x:v>
      </x:c>
      <x:c r="H145" s="26">
        <x:v>728</x:v>
      </x:c>
      <x:c r="I145" s="26">
        <x:v>20</x:v>
      </x:c>
      <x:c r="J145" s="24" t="s">
        <x:v>1411</x:v>
      </x:c>
      <x:c r="K145" s="24" t="s">
        <x:v>1739</x:v>
      </x:c>
      <x:c r="L145" s="26">
        <x:v>2</x:v>
      </x:c>
      <x:c r="M145" s="26">
        <x:v>1</x:v>
      </x:c>
      <x:c r="N145" s="26">
        <x:v>1</x:v>
      </x:c>
      <x:c r="O145" s="26">
        <x:v>0</x:v>
      </x:c>
      <x:c r="P145" s="26">
        <x:v>0</x:v>
      </x:c>
      <x:c r="Q145" s="27" t="s">
        <x:v>1740</x:v>
      </x:c>
      <x:c r="R145" s="26">
        <x:v>2830</x:v>
      </x:c>
      <x:c r="S145" s="27"/>
      <x:c r="T145" s="24" t="s">
        <x:v>857</x:v>
      </x:c>
      <x:c r="U145" s="24" t="s">
        <x:v>1399</x:v>
      </x:c>
    </x:row>
    <x:row r="146" ht="18" customHeight="1">
      <x:c r="A146" s="26">
        <x:v>1698</x:v>
      </x:c>
      <x:c r="B146" s="24" t="s">
        <x:v>79</x:v>
      </x:c>
      <x:c r="C146" s="24" t="s">
        <x:v>1741</x:v>
      </x:c>
      <x:c r="D146" s="24" t="s">
        <x:v>79</x:v>
      </x:c>
      <x:c r="E146" s="24" t="s">
        <x:v>1435</x:v>
      </x:c>
      <x:c r="F146" s="24" t="s">
        <x:v>317</x:v>
      </x:c>
      <x:c r="G146" s="26">
        <x:v>35</x:v>
      </x:c>
      <x:c r="H146" s="26">
        <x:v>1047</x:v>
      </x:c>
      <x:c r="I146" s="26">
        <x:v>29</x:v>
      </x:c>
      <x:c r="J146" s="24" t="s">
        <x:v>334</x:v>
      </x:c>
      <x:c r="K146" s="24" t="s">
        <x:v>1742</x:v>
      </x:c>
      <x:c r="L146" s="26">
        <x:v>2</x:v>
      </x:c>
      <x:c r="M146" s="26">
        <x:v>3</x:v>
      </x:c>
      <x:c r="N146" s="26">
        <x:v>3</x:v>
      </x:c>
      <x:c r="O146" s="26">
        <x:v>0</x:v>
      </x:c>
      <x:c r="P146" s="26">
        <x:v>0</x:v>
      </x:c>
      <x:c r="Q146" s="27" t="s">
        <x:v>1743</x:v>
      </x:c>
      <x:c r="R146" s="26">
        <x:v>3042</x:v>
      </x:c>
      <x:c r="S146" s="27"/>
      <x:c r="T146" s="24" t="s">
        <x:v>857</x:v>
      </x:c>
      <x:c r="U146" s="24" t="s">
        <x:v>1399</x:v>
      </x:c>
    </x:row>
    <x:row r="147" ht="18" customHeight="1">
      <x:c r="A147" s="26">
        <x:v>1699</x:v>
      </x:c>
      <x:c r="B147" s="24" t="s">
        <x:v>65</x:v>
      </x:c>
      <x:c r="C147" s="24" t="s">
        <x:v>65</x:v>
      </x:c>
      <x:c r="D147" s="24" t="s">
        <x:v>79</x:v>
      </x:c>
      <x:c r="E147" s="24">
        <x:v>2</x:v>
      </x:c>
      <x:c r="F147" s="24" t="s">
        <x:v>317</x:v>
      </x:c>
      <x:c r="G147" s="26">
        <x:v>35</x:v>
      </x:c>
      <x:c r="H147" s="26">
        <x:v>1406</x:v>
      </x:c>
      <x:c r="I147" s="26">
        <x:v>26</x:v>
      </x:c>
      <x:c r="J147" s="24" t="s">
        <x:v>334</x:v>
      </x:c>
      <x:c r="K147" s="24" t="s">
        <x:v>1744</x:v>
      </x:c>
      <x:c r="L147" s="26">
        <x:v>2</x:v>
      </x:c>
      <x:c r="M147" s="26">
        <x:v>2</x:v>
      </x:c>
      <x:c r="N147" s="26">
        <x:v>2</x:v>
      </x:c>
      <x:c r="O147" s="26">
        <x:v>2</x:v>
      </x:c>
      <x:c r="P147" s="26">
        <x:v>0</x:v>
      </x:c>
      <x:c r="Q147" s="27" t="s">
        <x:v>1745</x:v>
      </x:c>
      <x:c r="R147" s="26">
        <x:v>3044</x:v>
      </x:c>
      <x:c r="S147" s="27"/>
      <x:c r="T147" s="24" t="s">
        <x:v>857</x:v>
      </x:c>
      <x:c r="U147" s="24" t="s">
        <x:v>1399</x:v>
      </x:c>
    </x:row>
    <x:row r="148" ht="18" customHeight="1">
      <x:c r="A148" s="26">
        <x:v>1700</x:v>
      </x:c>
      <x:c r="B148" s="24" t="s">
        <x:v>70</x:v>
      </x:c>
      <x:c r="C148" s="24" t="s">
        <x:v>70</x:v>
      </x:c>
      <x:c r="D148" s="24" t="s">
        <x:v>79</x:v>
      </x:c>
      <x:c r="E148" s="24">
        <x:v>3</x:v>
      </x:c>
      <x:c r="F148" s="24" t="s">
        <x:v>317</x:v>
      </x:c>
      <x:c r="G148" s="26">
        <x:v>35</x:v>
      </x:c>
      <x:c r="H148" s="26">
        <x:v>788</x:v>
      </x:c>
      <x:c r="I148" s="26">
        <x:v>25</x:v>
      </x:c>
      <x:c r="J148" s="24" t="s">
        <x:v>334</x:v>
      </x:c>
      <x:c r="K148" s="24" t="s">
        <x:v>1742</x:v>
      </x:c>
      <x:c r="L148" s="26">
        <x:v>2</x:v>
      </x:c>
      <x:c r="M148" s="26">
        <x:v>2</x:v>
      </x:c>
      <x:c r="N148" s="26">
        <x:v>2</x:v>
      </x:c>
      <x:c r="O148" s="26">
        <x:v>0</x:v>
      </x:c>
      <x:c r="P148" s="26">
        <x:v>0</x:v>
      </x:c>
      <x:c r="Q148" s="27" t="s">
        <x:v>1746</x:v>
      </x:c>
      <x:c r="R148" s="26">
        <x:v>3048</x:v>
      </x:c>
      <x:c r="S148" s="27"/>
      <x:c r="T148" s="24" t="s">
        <x:v>857</x:v>
      </x:c>
      <x:c r="U148" s="24" t="s">
        <x:v>1399</x:v>
      </x:c>
    </x:row>
    <x:row r="149" ht="18" customHeight="1">
      <x:c r="A149" s="26">
        <x:v>1770</x:v>
      </x:c>
      <x:c r="B149" s="24" t="s">
        <x:v>436</x:v>
      </x:c>
      <x:c r="C149" s="24" t="s">
        <x:v>1747</x:v>
      </x:c>
      <x:c r="D149" s="24" t="s">
        <x:v>1748</x:v>
      </x:c>
      <x:c r="E149" s="24" t="s">
        <x:v>1749</x:v>
      </x:c>
      <x:c r="F149" s="24" t="s">
        <x:v>324</x:v>
      </x:c>
      <x:c r="G149" s="26">
        <x:v>100</x:v>
      </x:c>
      <x:c r="H149" s="26">
        <x:v>1906</x:v>
      </x:c>
      <x:c r="I149" s="26">
        <x:v>46</x:v>
      </x:c>
      <x:c r="J149" s="24" t="s">
        <x:v>928</x:v>
      </x:c>
      <x:c r="K149" s="24" t="s">
        <x:v>1419</x:v>
      </x:c>
      <x:c r="L149" s="26">
        <x:v>10</x:v>
      </x:c>
      <x:c r="M149" s="26">
        <x:v>3</x:v>
      </x:c>
      <x:c r="N149" s="26">
        <x:v>3</x:v>
      </x:c>
      <x:c r="O149" s="26">
        <x:v>1</x:v>
      </x:c>
      <x:c r="P149" s="26">
        <x:v>0</x:v>
      </x:c>
      <x:c r="Q149" s="27" t="s">
        <x:v>1750</x:v>
      </x:c>
      <x:c r="R149" s="26">
        <x:v>2743</x:v>
      </x:c>
      <x:c r="S149" s="27"/>
      <x:c r="T149" s="24" t="s">
        <x:v>1398</x:v>
      </x:c>
      <x:c r="U149" s="24" t="s">
        <x:v>1399</x:v>
      </x:c>
    </x:row>
    <x:row r="150" ht="18" customHeight="1">
      <x:c r="A150" s="26">
        <x:v>1772</x:v>
      </x:c>
      <x:c r="B150" s="24" t="s">
        <x:v>282</x:v>
      </x:c>
      <x:c r="C150" s="24" t="s">
        <x:v>1751</x:v>
      </x:c>
      <x:c r="D150" s="24" t="s">
        <x:v>1748</x:v>
      </x:c>
      <x:c r="E150" s="24" t="s">
        <x:v>1752</x:v>
      </x:c>
      <x:c r="F150" s="24" t="s">
        <x:v>324</x:v>
      </x:c>
      <x:c r="G150" s="26">
        <x:v>100</x:v>
      </x:c>
      <x:c r="H150" s="26">
        <x:v>2039</x:v>
      </x:c>
      <x:c r="I150" s="26">
        <x:v>54</x:v>
      </x:c>
      <x:c r="J150" s="24" t="s">
        <x:v>928</x:v>
      </x:c>
      <x:c r="K150" s="24" t="s">
        <x:v>1419</x:v>
      </x:c>
      <x:c r="L150" s="26">
        <x:v>10</x:v>
      </x:c>
      <x:c r="M150" s="26">
        <x:v>6</x:v>
      </x:c>
      <x:c r="N150" s="26">
        <x:v>6</x:v>
      </x:c>
      <x:c r="O150" s="26">
        <x:v>1</x:v>
      </x:c>
      <x:c r="P150" s="26">
        <x:v>0</x:v>
      </x:c>
      <x:c r="Q150" s="27" t="s">
        <x:v>1753</x:v>
      </x:c>
      <x:c r="R150" s="26">
        <x:v>2743</x:v>
      </x:c>
      <x:c r="S150" s="27"/>
      <x:c r="T150" s="24" t="s">
        <x:v>1398</x:v>
      </x:c>
      <x:c r="U150" s="24" t="s">
        <x:v>1399</x:v>
      </x:c>
    </x:row>
    <x:row r="151" ht="18" customHeight="1">
      <x:c r="A151" s="26">
        <x:v>1773</x:v>
      </x:c>
      <x:c r="B151" s="24" t="s">
        <x:v>432</x:v>
      </x:c>
      <x:c r="C151" s="24" t="s">
        <x:v>1754</x:v>
      </x:c>
      <x:c r="D151" s="24" t="s">
        <x:v>1748</x:v>
      </x:c>
      <x:c r="E151" s="24" t="s">
        <x:v>1755</x:v>
      </x:c>
      <x:c r="F151" s="24" t="s">
        <x:v>324</x:v>
      </x:c>
      <x:c r="G151" s="26">
        <x:v>100</x:v>
      </x:c>
      <x:c r="H151" s="26">
        <x:v>2221</x:v>
      </x:c>
      <x:c r="I151" s="26">
        <x:v>48</x:v>
      </x:c>
      <x:c r="J151" s="24" t="s">
        <x:v>928</x:v>
      </x:c>
      <x:c r="K151" s="24" t="s">
        <x:v>1419</x:v>
      </x:c>
      <x:c r="L151" s="26">
        <x:v>10</x:v>
      </x:c>
      <x:c r="M151" s="26">
        <x:v>4</x:v>
      </x:c>
      <x:c r="N151" s="26">
        <x:v>4</x:v>
      </x:c>
      <x:c r="O151" s="26">
        <x:v>4</x:v>
      </x:c>
      <x:c r="P151" s="26">
        <x:v>0</x:v>
      </x:c>
      <x:c r="Q151" s="27" t="s">
        <x:v>1428</x:v>
      </x:c>
      <x:c r="R151" s="26">
        <x:v>3052</x:v>
      </x:c>
      <x:c r="S151" s="27"/>
      <x:c r="T151" s="24" t="s">
        <x:v>1398</x:v>
      </x:c>
      <x:c r="U151" s="24" t="s">
        <x:v>1399</x:v>
      </x:c>
    </x:row>
    <x:row r="152" ht="18" customHeight="1">
      <x:c r="A152" s="26">
        <x:v>1779</x:v>
      </x:c>
      <x:c r="B152" s="24" t="s">
        <x:v>251</x:v>
      </x:c>
      <x:c r="C152" s="24" t="s">
        <x:v>251</x:v>
      </x:c>
      <x:c r="D152" s="24" t="s">
        <x:v>1756</x:v>
      </x:c>
      <x:c r="E152" s="24" t="s">
        <x:v>1469</x:v>
      </x:c>
      <x:c r="F152" s="24" t="s">
        <x:v>324</x:v>
      </x:c>
      <x:c r="G152" s="26">
        <x:v>90</x:v>
      </x:c>
      <x:c r="H152" s="26">
        <x:v>2261</x:v>
      </x:c>
      <x:c r="I152" s="26">
        <x:v>49</x:v>
      </x:c>
      <x:c r="J152" s="24" t="s">
        <x:v>947</x:v>
      </x:c>
      <x:c r="K152" s="24" t="s">
        <x:v>1396</x:v>
      </x:c>
      <x:c r="L152" s="26">
        <x:v>9</x:v>
      </x:c>
      <x:c r="M152" s="26">
        <x:v>5</x:v>
      </x:c>
      <x:c r="N152" s="26">
        <x:v>5</x:v>
      </x:c>
      <x:c r="O152" s="26">
        <x:v>3</x:v>
      </x:c>
      <x:c r="P152" s="26">
        <x:v>0</x:v>
      </x:c>
      <x:c r="Q152" s="27" t="s">
        <x:v>1757</x:v>
      </x:c>
      <x:c r="R152" s="26">
        <x:v>2887</x:v>
      </x:c>
      <x:c r="S152" s="27"/>
      <x:c r="T152" s="24" t="s">
        <x:v>857</x:v>
      </x:c>
      <x:c r="U152" s="24" t="s">
        <x:v>1399</x:v>
      </x:c>
    </x:row>
    <x:row r="153" ht="18" customHeight="1">
      <x:c r="A153" s="26">
        <x:v>1781</x:v>
      </x:c>
      <x:c r="B153" s="24" t="s">
        <x:v>265</x:v>
      </x:c>
      <x:c r="C153" s="24" t="s">
        <x:v>265</x:v>
      </x:c>
      <x:c r="D153" s="24" t="s">
        <x:v>1756</x:v>
      </x:c>
      <x:c r="E153" s="24" t="s">
        <x:v>1406</x:v>
      </x:c>
      <x:c r="F153" s="24" t="s">
        <x:v>324</x:v>
      </x:c>
      <x:c r="G153" s="26">
        <x:v>90</x:v>
      </x:c>
      <x:c r="H153" s="26">
        <x:v>2644</x:v>
      </x:c>
      <x:c r="I153" s="26">
        <x:v>52</x:v>
      </x:c>
      <x:c r="J153" s="24" t="s">
        <x:v>947</x:v>
      </x:c>
      <x:c r="K153" s="24" t="s">
        <x:v>1396</x:v>
      </x:c>
      <x:c r="L153" s="26">
        <x:v>9</x:v>
      </x:c>
      <x:c r="M153" s="26">
        <x:v>6</x:v>
      </x:c>
      <x:c r="N153" s="26">
        <x:v>6</x:v>
      </x:c>
      <x:c r="O153" s="26">
        <x:v>3</x:v>
      </x:c>
      <x:c r="P153" s="26">
        <x:v>0</x:v>
      </x:c>
      <x:c r="Q153" s="27" t="s">
        <x:v>1443</x:v>
      </x:c>
      <x:c r="R153" s="26">
        <x:v>2887</x:v>
      </x:c>
      <x:c r="S153" s="27"/>
      <x:c r="T153" s="24" t="s">
        <x:v>857</x:v>
      </x:c>
      <x:c r="U153" s="24" t="s">
        <x:v>1399</x:v>
      </x:c>
    </x:row>
    <x:row r="154" ht="18" customHeight="1">
      <x:c r="A154" s="26">
        <x:v>1782</x:v>
      </x:c>
      <x:c r="B154" s="24" t="s">
        <x:v>274</x:v>
      </x:c>
      <x:c r="C154" s="24" t="s">
        <x:v>274</x:v>
      </x:c>
      <x:c r="D154" s="24" t="s">
        <x:v>1756</x:v>
      </x:c>
      <x:c r="E154" s="24" t="s">
        <x:v>1476</x:v>
      </x:c>
      <x:c r="F154" s="24" t="s">
        <x:v>324</x:v>
      </x:c>
      <x:c r="G154" s="26">
        <x:v>90</x:v>
      </x:c>
      <x:c r="H154" s="26">
        <x:v>2364</x:v>
      </x:c>
      <x:c r="I154" s="26">
        <x:v>48</x:v>
      </x:c>
      <x:c r="J154" s="24" t="s">
        <x:v>1253</x:v>
      </x:c>
      <x:c r="K154" s="24" t="s">
        <x:v>1396</x:v>
      </x:c>
      <x:c r="L154" s="26">
        <x:v>9</x:v>
      </x:c>
      <x:c r="M154" s="26">
        <x:v>4</x:v>
      </x:c>
      <x:c r="N154" s="26">
        <x:v>4</x:v>
      </x:c>
      <x:c r="O154" s="26">
        <x:v>4</x:v>
      </x:c>
      <x:c r="P154" s="26">
        <x:v>0</x:v>
      </x:c>
      <x:c r="Q154" s="27" t="s">
        <x:v>1585</x:v>
      </x:c>
      <x:c r="R154" s="26">
        <x:v>2887</x:v>
      </x:c>
      <x:c r="S154" s="27"/>
      <x:c r="T154" s="24" t="s">
        <x:v>857</x:v>
      </x:c>
      <x:c r="U154" s="24" t="s">
        <x:v>1399</x:v>
      </x:c>
    </x:row>
    <x:row r="155" ht="18" customHeight="1">
      <x:c r="A155" s="26">
        <x:v>1786</x:v>
      </x:c>
      <x:c r="B155" s="24" t="s">
        <x:v>253</x:v>
      </x:c>
      <x:c r="C155" s="24" t="s">
        <x:v>253</x:v>
      </x:c>
      <x:c r="D155" s="24" t="s">
        <x:v>1756</x:v>
      </x:c>
      <x:c r="E155" s="24" t="s">
        <x:v>1444</x:v>
      </x:c>
      <x:c r="F155" s="24" t="s">
        <x:v>324</x:v>
      </x:c>
      <x:c r="G155" s="26">
        <x:v>90</x:v>
      </x:c>
      <x:c r="H155" s="26">
        <x:v>2401</x:v>
      </x:c>
      <x:c r="I155" s="26">
        <x:v>54</x:v>
      </x:c>
      <x:c r="J155" s="24" t="s">
        <x:v>947</x:v>
      </x:c>
      <x:c r="K155" s="24" t="s">
        <x:v>1396</x:v>
      </x:c>
      <x:c r="L155" s="26">
        <x:v>9</x:v>
      </x:c>
      <x:c r="M155" s="26">
        <x:v>6</x:v>
      </x:c>
      <x:c r="N155" s="26">
        <x:v>6</x:v>
      </x:c>
      <x:c r="O155" s="26">
        <x:v>3</x:v>
      </x:c>
      <x:c r="P155" s="26">
        <x:v>0</x:v>
      </x:c>
      <x:c r="Q155" s="27" t="s">
        <x:v>1567</x:v>
      </x:c>
      <x:c r="R155" s="26">
        <x:v>2887</x:v>
      </x:c>
      <x:c r="S155" s="27"/>
      <x:c r="T155" s="24" t="s">
        <x:v>857</x:v>
      </x:c>
      <x:c r="U155" s="24" t="s">
        <x:v>1399</x:v>
      </x:c>
    </x:row>
    <x:row r="156" ht="18" customHeight="1">
      <x:c r="A156" s="26">
        <x:v>1791</x:v>
      </x:c>
      <x:c r="B156" s="24" t="s">
        <x:v>1758</x:v>
      </x:c>
      <x:c r="C156" s="24" t="s">
        <x:v>1759</x:v>
      </x:c>
      <x:c r="D156" s="24" t="s">
        <x:v>1760</x:v>
      </x:c>
      <x:c r="E156" s="24" t="s">
        <x:v>1761</x:v>
      </x:c>
      <x:c r="F156" s="24" t="s">
        <x:v>319</x:v>
      </x:c>
      <x:c r="G156" s="26">
        <x:v>55</x:v>
      </x:c>
      <x:c r="H156" s="26">
        <x:v>1160</x:v>
      </x:c>
      <x:c r="I156" s="26">
        <x:v>36</x:v>
      </x:c>
      <x:c r="J156" s="24" t="s">
        <x:v>1001</x:v>
      </x:c>
      <x:c r="K156" s="24" t="s">
        <x:v>1507</x:v>
      </x:c>
      <x:c r="L156" s="26">
        <x:v>6</x:v>
      </x:c>
      <x:c r="M156" s="26">
        <x:v>2</x:v>
      </x:c>
      <x:c r="N156" s="26">
        <x:v>3</x:v>
      </x:c>
      <x:c r="O156" s="26">
        <x:v>0</x:v>
      </x:c>
      <x:c r="P156" s="26">
        <x:v>0</x:v>
      </x:c>
      <x:c r="Q156" s="27" t="s">
        <x:v>1762</x:v>
      </x:c>
      <x:c r="R156" s="26">
        <x:v>2587</x:v>
      </x:c>
      <x:c r="S156" s="27"/>
      <x:c r="T156" s="24" t="s">
        <x:v>1398</x:v>
      </x:c>
      <x:c r="U156" s="24" t="s">
        <x:v>1399</x:v>
      </x:c>
    </x:row>
    <x:row r="157" ht="18" customHeight="1">
      <x:c r="A157" s="26">
        <x:v>1792</x:v>
      </x:c>
      <x:c r="B157" s="24" t="s">
        <x:v>140</x:v>
      </x:c>
      <x:c r="C157" s="24" t="s">
        <x:v>1763</x:v>
      </x:c>
      <x:c r="D157" s="24" t="s">
        <x:v>1760</x:v>
      </x:c>
      <x:c r="E157" s="24" t="s">
        <x:v>1764</x:v>
      </x:c>
      <x:c r="F157" s="24" t="s">
        <x:v>319</x:v>
      </x:c>
      <x:c r="G157" s="26">
        <x:v>55</x:v>
      </x:c>
      <x:c r="H157" s="26">
        <x:v>1265</x:v>
      </x:c>
      <x:c r="I157" s="26">
        <x:v>39</x:v>
      </x:c>
      <x:c r="J157" s="24" t="s">
        <x:v>1001</x:v>
      </x:c>
      <x:c r="K157" s="24" t="s">
        <x:v>1507</x:v>
      </x:c>
      <x:c r="L157" s="26">
        <x:v>6</x:v>
      </x:c>
      <x:c r="M157" s="26">
        <x:v>4</x:v>
      </x:c>
      <x:c r="N157" s="26">
        <x:v>4</x:v>
      </x:c>
      <x:c r="O157" s="26">
        <x:v>1</x:v>
      </x:c>
      <x:c r="P157" s="26">
        <x:v>0</x:v>
      </x:c>
      <x:c r="Q157" s="27" t="s">
        <x:v>1765</x:v>
      </x:c>
      <x:c r="R157" s="26">
        <x:v>2731</x:v>
      </x:c>
      <x:c r="S157" s="27"/>
      <x:c r="T157" s="24" t="s">
        <x:v>1398</x:v>
      </x:c>
      <x:c r="U157" s="24" t="s">
        <x:v>1399</x:v>
      </x:c>
    </x:row>
    <x:row r="158" ht="18" customHeight="1">
      <x:c r="A158" s="26">
        <x:v>1805</x:v>
      </x:c>
      <x:c r="B158" s="24" t="s">
        <x:v>293</x:v>
      </x:c>
      <x:c r="C158" s="24" t="s">
        <x:v>1766</x:v>
      </x:c>
      <x:c r="D158" s="24" t="s">
        <x:v>293</x:v>
      </x:c>
      <x:c r="E158" s="24" t="s">
        <x:v>1435</x:v>
      </x:c>
      <x:c r="F158" s="24" t="s">
        <x:v>324</x:v>
      </x:c>
      <x:c r="G158" s="26">
        <x:v>100</x:v>
      </x:c>
      <x:c r="H158" s="26">
        <x:v>2927</x:v>
      </x:c>
      <x:c r="I158" s="26">
        <x:v>53</x:v>
      </x:c>
      <x:c r="J158" s="24" t="s">
        <x:v>947</x:v>
      </x:c>
      <x:c r="K158" s="24" t="s">
        <x:v>1396</x:v>
      </x:c>
      <x:c r="L158" s="26">
        <x:v>9</x:v>
      </x:c>
      <x:c r="M158" s="26">
        <x:v>7</x:v>
      </x:c>
      <x:c r="N158" s="26">
        <x:v>7</x:v>
      </x:c>
      <x:c r="O158" s="26">
        <x:v>1</x:v>
      </x:c>
      <x:c r="P158" s="26">
        <x:v>0</x:v>
      </x:c>
      <x:c r="Q158" s="27" t="s">
        <x:v>1656</x:v>
      </x:c>
      <x:c r="R158" s="26">
        <x:v>3001</x:v>
      </x:c>
      <x:c r="S158" s="27"/>
      <x:c r="T158" s="24" t="s">
        <x:v>857</x:v>
      </x:c>
      <x:c r="U158" s="24" t="s">
        <x:v>1399</x:v>
      </x:c>
    </x:row>
    <x:row r="159" ht="18" customHeight="1">
      <x:c r="A159" s="26">
        <x:v>1827</x:v>
      </x:c>
      <x:c r="B159" s="24" t="s">
        <x:v>46</x:v>
      </x:c>
      <x:c r="C159" s="24" t="s">
        <x:v>1767</x:v>
      </x:c>
      <x:c r="D159" s="24" t="s">
        <x:v>1768</x:v>
      </x:c>
      <x:c r="E159" s="24" t="s">
        <x:v>1469</x:v>
      </x:c>
      <x:c r="F159" s="24" t="s">
        <x:v>317</x:v>
      </x:c>
      <x:c r="G159" s="26">
        <x:v>25</x:v>
      </x:c>
      <x:c r="H159" s="26">
        <x:v>608</x:v>
      </x:c>
      <x:c r="I159" s="26">
        <x:v>18</x:v>
      </x:c>
      <x:c r="J159" s="24" t="s">
        <x:v>1411</x:v>
      </x:c>
      <x:c r="K159" s="24" t="s">
        <x:v>1769</x:v>
      </x:c>
      <x:c r="L159" s="26">
        <x:v>2</x:v>
      </x:c>
      <x:c r="M159" s="26">
        <x:v>1</x:v>
      </x:c>
      <x:c r="N159" s="26">
        <x:v>0</x:v>
      </x:c>
      <x:c r="O159" s="26">
        <x:v>0</x:v>
      </x:c>
      <x:c r="P159" s="26">
        <x:v>0</x:v>
      </x:c>
      <x:c r="Q159" s="27" t="s">
        <x:v>1770</x:v>
      </x:c>
      <x:c r="R159" s="26">
        <x:v>2926</x:v>
      </x:c>
      <x:c r="S159" s="27"/>
      <x:c r="T159" s="24" t="s">
        <x:v>857</x:v>
      </x:c>
      <x:c r="U159" s="24" t="s">
        <x:v>1399</x:v>
      </x:c>
    </x:row>
    <x:row r="160" ht="18" customHeight="1">
      <x:c r="A160" s="26">
        <x:v>1828</x:v>
      </x:c>
      <x:c r="B160" s="24" t="s">
        <x:v>35</x:v>
      </x:c>
      <x:c r="C160" s="24" t="s">
        <x:v>1771</x:v>
      </x:c>
      <x:c r="D160" s="24" t="s">
        <x:v>1768</x:v>
      </x:c>
      <x:c r="E160" s="24" t="s">
        <x:v>1441</x:v>
      </x:c>
      <x:c r="F160" s="24" t="s">
        <x:v>317</x:v>
      </x:c>
      <x:c r="G160" s="26">
        <x:v>25</x:v>
      </x:c>
      <x:c r="H160" s="26">
        <x:v>1209</x:v>
      </x:c>
      <x:c r="I160" s="26">
        <x:v>35</x:v>
      </x:c>
      <x:c r="J160" s="24" t="s">
        <x:v>334</x:v>
      </x:c>
      <x:c r="K160" s="24" t="s">
        <x:v>1769</x:v>
      </x:c>
      <x:c r="L160" s="26">
        <x:v>2</x:v>
      </x:c>
      <x:c r="M160" s="26">
        <x:v>4</x:v>
      </x:c>
      <x:c r="N160" s="26">
        <x:v>4</x:v>
      </x:c>
      <x:c r="O160" s="26">
        <x:v>0</x:v>
      </x:c>
      <x:c r="P160" s="26">
        <x:v>0</x:v>
      </x:c>
      <x:c r="Q160" s="27" t="s">
        <x:v>1772</x:v>
      </x:c>
      <x:c r="R160" s="26">
        <x:v>2926</x:v>
      </x:c>
      <x:c r="S160" s="27"/>
      <x:c r="T160" s="24" t="s">
        <x:v>857</x:v>
      </x:c>
      <x:c r="U160" s="24" t="s">
        <x:v>1399</x:v>
      </x:c>
    </x:row>
    <x:row r="161" ht="18" customHeight="1">
      <x:c r="A161" s="26">
        <x:v>1829</x:v>
      </x:c>
      <x:c r="B161" s="24" t="s">
        <x:v>54</x:v>
      </x:c>
      <x:c r="C161" s="24" t="s">
        <x:v>1773</x:v>
      </x:c>
      <x:c r="D161" s="24" t="s">
        <x:v>1768</x:v>
      </x:c>
      <x:c r="E161" s="24" t="s">
        <x:v>1406</x:v>
      </x:c>
      <x:c r="F161" s="24" t="s">
        <x:v>317</x:v>
      </x:c>
      <x:c r="G161" s="26">
        <x:v>25</x:v>
      </x:c>
      <x:c r="H161" s="26">
        <x:v>1320</x:v>
      </x:c>
      <x:c r="I161" s="26">
        <x:v>29</x:v>
      </x:c>
      <x:c r="J161" s="24" t="s">
        <x:v>334</x:v>
      </x:c>
      <x:c r="K161" s="24" t="s">
        <x:v>1769</x:v>
      </x:c>
      <x:c r="L161" s="26">
        <x:v>2</x:v>
      </x:c>
      <x:c r="M161" s="26">
        <x:v>2</x:v>
      </x:c>
      <x:c r="N161" s="26">
        <x:v>2</x:v>
      </x:c>
      <x:c r="O161" s="26">
        <x:v>1</x:v>
      </x:c>
      <x:c r="P161" s="26">
        <x:v>0</x:v>
      </x:c>
      <x:c r="Q161" s="27" t="s">
        <x:v>1774</x:v>
      </x:c>
      <x:c r="R161" s="26">
        <x:v>2926</x:v>
      </x:c>
      <x:c r="S161" s="27"/>
      <x:c r="T161" s="24" t="s">
        <x:v>857</x:v>
      </x:c>
      <x:c r="U161" s="24" t="s">
        <x:v>1399</x:v>
      </x:c>
    </x:row>
    <x:row r="162" ht="18" customHeight="1">
      <x:c r="A162" s="26">
        <x:v>1830</x:v>
      </x:c>
      <x:c r="B162" s="24" t="s">
        <x:v>52</x:v>
      </x:c>
      <x:c r="C162" s="24" t="s">
        <x:v>1775</x:v>
      </x:c>
      <x:c r="D162" s="24" t="s">
        <x:v>1768</x:v>
      </x:c>
      <x:c r="E162" s="24" t="s">
        <x:v>1476</x:v>
      </x:c>
      <x:c r="F162" s="24" t="s">
        <x:v>317</x:v>
      </x:c>
      <x:c r="G162" s="26">
        <x:v>25</x:v>
      </x:c>
      <x:c r="H162" s="26">
        <x:v>842</x:v>
      </x:c>
      <x:c r="I162" s="26">
        <x:v>25</x:v>
      </x:c>
      <x:c r="J162" s="24" t="s">
        <x:v>334</x:v>
      </x:c>
      <x:c r="K162" s="24" t="s">
        <x:v>1769</x:v>
      </x:c>
      <x:c r="L162" s="26">
        <x:v>2</x:v>
      </x:c>
      <x:c r="M162" s="26">
        <x:v>2</x:v>
      </x:c>
      <x:c r="N162" s="26">
        <x:v>2</x:v>
      </x:c>
      <x:c r="O162" s="26">
        <x:v>0</x:v>
      </x:c>
      <x:c r="P162" s="26">
        <x:v>0</x:v>
      </x:c>
      <x:c r="Q162" s="27" t="s">
        <x:v>1776</x:v>
      </x:c>
      <x:c r="R162" s="26">
        <x:v>2926</x:v>
      </x:c>
      <x:c r="S162" s="27"/>
      <x:c r="T162" s="24" t="s">
        <x:v>857</x:v>
      </x:c>
      <x:c r="U162" s="24" t="s">
        <x:v>1399</x:v>
      </x:c>
    </x:row>
    <x:row r="163" ht="18" customHeight="1">
      <x:c r="A163" s="26">
        <x:v>1836</x:v>
      </x:c>
      <x:c r="B163" s="24" t="s">
        <x:v>57</x:v>
      </x:c>
      <x:c r="C163" s="24" t="s">
        <x:v>1777</x:v>
      </x:c>
      <x:c r="D163" s="24" t="s">
        <x:v>1768</x:v>
      </x:c>
      <x:c r="E163" s="24" t="s">
        <x:v>1444</x:v>
      </x:c>
      <x:c r="F163" s="24" t="s">
        <x:v>317</x:v>
      </x:c>
      <x:c r="G163" s="26">
        <x:v>25</x:v>
      </x:c>
      <x:c r="H163" s="26">
        <x:v>871</x:v>
      </x:c>
      <x:c r="I163" s="26">
        <x:v>27</x:v>
      </x:c>
      <x:c r="J163" s="24" t="s">
        <x:v>1411</x:v>
      </x:c>
      <x:c r="K163" s="24" t="s">
        <x:v>1769</x:v>
      </x:c>
      <x:c r="L163" s="26">
        <x:v>2</x:v>
      </x:c>
      <x:c r="M163" s="26">
        <x:v>2</x:v>
      </x:c>
      <x:c r="N163" s="26">
        <x:v>2</x:v>
      </x:c>
      <x:c r="O163" s="26">
        <x:v>1</x:v>
      </x:c>
      <x:c r="P163" s="26">
        <x:v>0</x:v>
      </x:c>
      <x:c r="Q163" s="27" t="s">
        <x:v>1778</x:v>
      </x:c>
      <x:c r="R163" s="26">
        <x:v>2926</x:v>
      </x:c>
      <x:c r="S163" s="27"/>
      <x:c r="T163" s="24" t="s">
        <x:v>857</x:v>
      </x:c>
      <x:c r="U163" s="24" t="s">
        <x:v>1399</x:v>
      </x:c>
    </x:row>
    <x:row r="164" ht="18" customHeight="1">
      <x:c r="A164" s="26">
        <x:v>1841</x:v>
      </x:c>
      <x:c r="B164" s="24" t="s">
        <x:v>286</x:v>
      </x:c>
      <x:c r="C164" s="24" t="s">
        <x:v>1779</x:v>
      </x:c>
      <x:c r="D164" s="24" t="s">
        <x:v>1780</x:v>
      </x:c>
      <x:c r="E164" s="24" t="s">
        <x:v>1435</x:v>
      </x:c>
      <x:c r="F164" s="24" t="s">
        <x:v>324</x:v>
      </x:c>
      <x:c r="G164" s="26">
        <x:v>100</x:v>
      </x:c>
      <x:c r="H164" s="26">
        <x:v>1950</x:v>
      </x:c>
      <x:c r="I164" s="26">
        <x:v>42</x:v>
      </x:c>
      <x:c r="J164" s="24" t="s">
        <x:v>1253</x:v>
      </x:c>
      <x:c r="K164" s="24" t="s">
        <x:v>1419</x:v>
      </x:c>
      <x:c r="L164" s="26">
        <x:v>10</x:v>
      </x:c>
      <x:c r="M164" s="26">
        <x:v>3</x:v>
      </x:c>
      <x:c r="N164" s="26">
        <x:v>3</x:v>
      </x:c>
      <x:c r="O164" s="26">
        <x:v>3</x:v>
      </x:c>
      <x:c r="P164" s="26">
        <x:v>0</x:v>
      </x:c>
      <x:c r="Q164" s="27" t="s">
        <x:v>1656</x:v>
      </x:c>
      <x:c r="R164" s="26">
        <x:v>2827</x:v>
      </x:c>
      <x:c r="S164" s="27"/>
      <x:c r="T164" s="24" t="s">
        <x:v>857</x:v>
      </x:c>
      <x:c r="U164" s="24" t="s">
        <x:v>1399</x:v>
      </x:c>
    </x:row>
    <x:row r="165" ht="18" customHeight="1">
      <x:c r="A165" s="26">
        <x:v>1853</x:v>
      </x:c>
      <x:c r="B165" s="24" t="s">
        <x:v>243</x:v>
      </x:c>
      <x:c r="C165" s="24" t="s">
        <x:v>1781</x:v>
      </x:c>
      <x:c r="D165" s="24" t="s">
        <x:v>1782</x:v>
      </x:c>
      <x:c r="E165" s="24" t="s">
        <x:v>1783</x:v>
      </x:c>
      <x:c r="F165" s="24" t="s">
        <x:v>318</x:v>
      </x:c>
      <x:c r="G165" s="26">
        <x:v>60</x:v>
      </x:c>
      <x:c r="H165" s="26">
        <x:v>1422</x:v>
      </x:c>
      <x:c r="I165" s="26">
        <x:v>33</x:v>
      </x:c>
      <x:c r="J165" s="24" t="s">
        <x:v>1001</x:v>
      </x:c>
      <x:c r="K165" s="24" t="s">
        <x:v>1442</x:v>
      </x:c>
      <x:c r="L165" s="26">
        <x:v>5</x:v>
      </x:c>
      <x:c r="M165" s="26">
        <x:v>3</x:v>
      </x:c>
      <x:c r="N165" s="26">
        <x:v>3</x:v>
      </x:c>
      <x:c r="O165" s="26">
        <x:v>1</x:v>
      </x:c>
      <x:c r="P165" s="26">
        <x:v>0</x:v>
      </x:c>
      <x:c r="Q165" s="27" t="s">
        <x:v>1432</x:v>
      </x:c>
      <x:c r="R165" s="26">
        <x:v>2581</x:v>
      </x:c>
      <x:c r="S165" s="27"/>
      <x:c r="T165" s="24" t="s">
        <x:v>1398</x:v>
      </x:c>
      <x:c r="U165" s="24" t="s">
        <x:v>1399</x:v>
      </x:c>
    </x:row>
    <x:row r="166" ht="18" customHeight="1">
      <x:c r="A166" s="26">
        <x:v>1858</x:v>
      </x:c>
      <x:c r="B166" s="24" t="s">
        <x:v>416</x:v>
      </x:c>
      <x:c r="C166" s="24" t="s">
        <x:v>1784</x:v>
      </x:c>
      <x:c r="D166" s="24" t="s">
        <x:v>1782</x:v>
      </x:c>
      <x:c r="E166" s="24" t="s">
        <x:v>1785</x:v>
      </x:c>
      <x:c r="F166" s="24" t="s">
        <x:v>318</x:v>
      </x:c>
      <x:c r="G166" s="26">
        <x:v>60</x:v>
      </x:c>
      <x:c r="H166" s="26">
        <x:v>1365</x:v>
      </x:c>
      <x:c r="I166" s="26">
        <x:v>32</x:v>
      </x:c>
      <x:c r="J166" s="24" t="s">
        <x:v>1001</x:v>
      </x:c>
      <x:c r="K166" s="24" t="s">
        <x:v>1442</x:v>
      </x:c>
      <x:c r="L166" s="26">
        <x:v>5</x:v>
      </x:c>
      <x:c r="M166" s="26">
        <x:v>3</x:v>
      </x:c>
      <x:c r="N166" s="26">
        <x:v>3</x:v>
      </x:c>
      <x:c r="O166" s="26">
        <x:v>1</x:v>
      </x:c>
      <x:c r="P166" s="26">
        <x:v>0</x:v>
      </x:c>
      <x:c r="Q166" s="27"/>
      <x:c r="R166" s="26">
        <x:v>2594</x:v>
      </x:c>
      <x:c r="S166" s="27"/>
      <x:c r="T166" s="24" t="s">
        <x:v>1398</x:v>
      </x:c>
      <x:c r="U166" s="24" t="s">
        <x:v>1399</x:v>
      </x:c>
    </x:row>
    <x:row r="167" ht="18" customHeight="1">
      <x:c r="A167" s="26">
        <x:v>1886</x:v>
      </x:c>
      <x:c r="B167" s="24" t="s">
        <x:v>206</x:v>
      </x:c>
      <x:c r="C167" s="24" t="s">
        <x:v>206</x:v>
      </x:c>
      <x:c r="D167" s="24" t="s">
        <x:v>1786</x:v>
      </x:c>
      <x:c r="E167" s="24" t="s">
        <x:v>1469</x:v>
      </x:c>
      <x:c r="F167" s="24" t="s">
        <x:v>318</x:v>
      </x:c>
      <x:c r="G167" s="26">
        <x:v>65</x:v>
      </x:c>
      <x:c r="H167" s="26">
        <x:v>2264</x:v>
      </x:c>
      <x:c r="I167" s="26">
        <x:v>44</x:v>
      </x:c>
      <x:c r="J167" s="24" t="s">
        <x:v>1253</x:v>
      </x:c>
      <x:c r="K167" s="24" t="s">
        <x:v>1442</x:v>
      </x:c>
      <x:c r="L167" s="26">
        <x:v>6</x:v>
      </x:c>
      <x:c r="M167" s="26">
        <x:v>4</x:v>
      </x:c>
      <x:c r="N167" s="26">
        <x:v>4</x:v>
      </x:c>
      <x:c r="O167" s="26">
        <x:v>4</x:v>
      </x:c>
      <x:c r="P167" s="26">
        <x:v>0</x:v>
      </x:c>
      <x:c r="Q167" s="27" t="s">
        <x:v>1567</x:v>
      </x:c>
      <x:c r="R167" s="26">
        <x:v>3052</x:v>
      </x:c>
      <x:c r="S167" s="27"/>
      <x:c r="T167" s="24" t="s">
        <x:v>857</x:v>
      </x:c>
      <x:c r="U167" s="24" t="s">
        <x:v>1399</x:v>
      </x:c>
    </x:row>
    <x:row r="168" ht="18" customHeight="1">
      <x:c r="A168" s="26">
        <x:v>1887</x:v>
      </x:c>
      <x:c r="B168" s="24" t="s">
        <x:v>209</x:v>
      </x:c>
      <x:c r="C168" s="24" t="s">
        <x:v>209</x:v>
      </x:c>
      <x:c r="D168" s="24" t="s">
        <x:v>1786</x:v>
      </x:c>
      <x:c r="E168" s="24" t="s">
        <x:v>1441</x:v>
      </x:c>
      <x:c r="F168" s="24" t="s">
        <x:v>318</x:v>
      </x:c>
      <x:c r="G168" s="26">
        <x:v>65</x:v>
      </x:c>
      <x:c r="H168" s="26">
        <x:v>2048</x:v>
      </x:c>
      <x:c r="I168" s="26">
        <x:v>43</x:v>
      </x:c>
      <x:c r="J168" s="24" t="s">
        <x:v>1001</x:v>
      </x:c>
      <x:c r="K168" s="24" t="s">
        <x:v>1442</x:v>
      </x:c>
      <x:c r="L168" s="26">
        <x:v>6</x:v>
      </x:c>
      <x:c r="M168" s="26">
        <x:v>4</x:v>
      </x:c>
      <x:c r="N168" s="26">
        <x:v>5</x:v>
      </x:c>
      <x:c r="O168" s="26">
        <x:v>2</x:v>
      </x:c>
      <x:c r="P168" s="26">
        <x:v>0</x:v>
      </x:c>
      <x:c r="Q168" s="27" t="s">
        <x:v>1473</x:v>
      </x:c>
      <x:c r="R168" s="26">
        <x:v>3052</x:v>
      </x:c>
      <x:c r="S168" s="27"/>
      <x:c r="T168" s="24" t="s">
        <x:v>857</x:v>
      </x:c>
      <x:c r="U168" s="24" t="s">
        <x:v>1399</x:v>
      </x:c>
    </x:row>
    <x:row r="169" ht="18" customHeight="1">
      <x:c r="A169" s="26">
        <x:v>1889</x:v>
      </x:c>
      <x:c r="B169" s="24" t="s">
        <x:v>207</x:v>
      </x:c>
      <x:c r="C169" s="24" t="s">
        <x:v>207</x:v>
      </x:c>
      <x:c r="D169" s="24" t="s">
        <x:v>1786</x:v>
      </x:c>
      <x:c r="E169" s="24" t="s">
        <x:v>1476</x:v>
      </x:c>
      <x:c r="F169" s="24" t="s">
        <x:v>318</x:v>
      </x:c>
      <x:c r="G169" s="26">
        <x:v>65</x:v>
      </x:c>
      <x:c r="H169" s="26">
        <x:v>2039</x:v>
      </x:c>
      <x:c r="I169" s="26">
        <x:v>50</x:v>
      </x:c>
      <x:c r="J169" s="24" t="s">
        <x:v>1001</x:v>
      </x:c>
      <x:c r="K169" s="24" t="s">
        <x:v>1442</x:v>
      </x:c>
      <x:c r="L169" s="26">
        <x:v>6</x:v>
      </x:c>
      <x:c r="M169" s="26">
        <x:v>7</x:v>
      </x:c>
      <x:c r="N169" s="26">
        <x:v>7</x:v>
      </x:c>
      <x:c r="O169" s="26">
        <x:v>0</x:v>
      </x:c>
      <x:c r="P169" s="26">
        <x:v>0</x:v>
      </x:c>
      <x:c r="Q169" s="27" t="s">
        <x:v>1526</x:v>
      </x:c>
      <x:c r="R169" s="26">
        <x:v>3052</x:v>
      </x:c>
      <x:c r="S169" s="27"/>
      <x:c r="T169" s="24" t="s">
        <x:v>857</x:v>
      </x:c>
      <x:c r="U169" s="24" t="s">
        <x:v>1399</x:v>
      </x:c>
    </x:row>
    <x:row r="170" ht="18" customHeight="1">
      <x:c r="A170" s="26">
        <x:v>1892</x:v>
      </x:c>
      <x:c r="B170" s="24" t="s">
        <x:v>211</x:v>
      </x:c>
      <x:c r="C170" s="24" t="s">
        <x:v>211</x:v>
      </x:c>
      <x:c r="D170" s="24" t="s">
        <x:v>1786</x:v>
      </x:c>
      <x:c r="E170" s="24" t="s">
        <x:v>1444</x:v>
      </x:c>
      <x:c r="F170" s="24" t="s">
        <x:v>318</x:v>
      </x:c>
      <x:c r="G170" s="26">
        <x:v>65</x:v>
      </x:c>
      <x:c r="H170" s="26">
        <x:v>2390</x:v>
      </x:c>
      <x:c r="I170" s="26">
        <x:v>44</x:v>
      </x:c>
      <x:c r="J170" s="24" t="s">
        <x:v>1001</x:v>
      </x:c>
      <x:c r="K170" s="24" t="s">
        <x:v>1442</x:v>
      </x:c>
      <x:c r="L170" s="26">
        <x:v>6</x:v>
      </x:c>
      <x:c r="M170" s="26">
        <x:v>4</x:v>
      </x:c>
      <x:c r="N170" s="26">
        <x:v>4</x:v>
      </x:c>
      <x:c r="O170" s="26">
        <x:v>4</x:v>
      </x:c>
      <x:c r="P170" s="26">
        <x:v>0</x:v>
      </x:c>
      <x:c r="Q170" s="27" t="s">
        <x:v>1787</x:v>
      </x:c>
      <x:c r="R170" s="26">
        <x:v>3052</x:v>
      </x:c>
      <x:c r="S170" s="27"/>
      <x:c r="T170" s="24" t="s">
        <x:v>857</x:v>
      </x:c>
      <x:c r="U170" s="24" t="s">
        <x:v>1399</x:v>
      </x:c>
    </x:row>
    <x:row r="171" ht="18" customHeight="1">
      <x:c r="A171" s="26">
        <x:v>7601</x:v>
      </x:c>
      <x:c r="B171" s="24" t="s">
        <x:v>75</x:v>
      </x:c>
      <x:c r="C171" s="24" t="s">
        <x:v>75</x:v>
      </x:c>
      <x:c r="D171" s="24" t="s">
        <x:v>1788</x:v>
      </x:c>
      <x:c r="E171" s="24" t="s">
        <x:v>1406</x:v>
      </x:c>
      <x:c r="F171" s="24" t="s">
        <x:v>317</x:v>
      </x:c>
      <x:c r="G171" s="26">
        <x:v>20</x:v>
      </x:c>
      <x:c r="H171" s="26">
        <x:v>672</x:v>
      </x:c>
      <x:c r="I171" s="26">
        <x:v>23</x:v>
      </x:c>
      <x:c r="J171" s="24" t="s">
        <x:v>334</x:v>
      </x:c>
      <x:c r="K171" s="24" t="s">
        <x:v>1549</x:v>
      </x:c>
      <x:c r="L171" s="26">
        <x:v>2</x:v>
      </x:c>
      <x:c r="M171" s="26">
        <x:v>2</x:v>
      </x:c>
      <x:c r="N171" s="26">
        <x:v>2</x:v>
      </x:c>
      <x:c r="O171" s="26">
        <x:v>0</x:v>
      </x:c>
      <x:c r="P171" s="26">
        <x:v>0</x:v>
      </x:c>
      <x:c r="Q171" s="27" t="s">
        <x:v>1432</x:v>
      </x:c>
      <x:c r="R171" s="26">
        <x:v>2836</x:v>
      </x:c>
      <x:c r="S171" s="27"/>
      <x:c r="T171" s="24" t="s">
        <x:v>1368</x:v>
      </x:c>
      <x:c r="U171" s="24" t="s">
        <x:v>1399</x:v>
      </x:c>
    </x:row>
    <x:row r="172" ht="18" customHeight="1">
      <x:c r="A172" s="26">
        <x:v>1914</x:v>
      </x:c>
      <x:c r="B172" s="24" t="s">
        <x:v>81</x:v>
      </x:c>
      <x:c r="C172" s="24" t="s">
        <x:v>1789</x:v>
      </x:c>
      <x:c r="D172" s="24" t="s">
        <x:v>81</x:v>
      </x:c>
      <x:c r="E172" s="24" t="s">
        <x:v>1435</x:v>
      </x:c>
      <x:c r="F172" s="24" t="s">
        <x:v>317</x:v>
      </x:c>
      <x:c r="G172" s="26">
        <x:v>25</x:v>
      </x:c>
      <x:c r="H172" s="26">
        <x:v>1100</x:v>
      </x:c>
      <x:c r="I172" s="26">
        <x:v>42</x:v>
      </x:c>
      <x:c r="J172" s="24" t="s">
        <x:v>334</x:v>
      </x:c>
      <x:c r="K172" s="24" t="s">
        <x:v>1549</x:v>
      </x:c>
      <x:c r="L172" s="26">
        <x:v>3</x:v>
      </x:c>
      <x:c r="M172" s="26">
        <x:v>5</x:v>
      </x:c>
      <x:c r="N172" s="26">
        <x:v>5</x:v>
      </x:c>
      <x:c r="O172" s="26">
        <x:v>0</x:v>
      </x:c>
      <x:c r="P172" s="26">
        <x:v>0</x:v>
      </x:c>
      <x:c r="Q172" s="27" t="s">
        <x:v>1432</x:v>
      </x:c>
      <x:c r="R172" s="26">
        <x:v>2832</x:v>
      </x:c>
      <x:c r="S172" s="27"/>
      <x:c r="T172" s="24" t="s">
        <x:v>857</x:v>
      </x:c>
      <x:c r="U172" s="24" t="s">
        <x:v>1399</x:v>
      </x:c>
    </x:row>
    <x:row r="173" ht="18" customHeight="1">
      <x:c r="A173" s="26">
        <x:v>1915</x:v>
      </x:c>
      <x:c r="B173" s="24" t="s">
        <x:v>82</x:v>
      </x:c>
      <x:c r="C173" s="24" t="s">
        <x:v>82</x:v>
      </x:c>
      <x:c r="D173" s="24" t="s">
        <x:v>81</x:v>
      </x:c>
      <x:c r="E173" s="24">
        <x:v>2</x:v>
      </x:c>
      <x:c r="F173" s="24" t="s">
        <x:v>317</x:v>
      </x:c>
      <x:c r="G173" s="26">
        <x:v>25</x:v>
      </x:c>
      <x:c r="H173" s="26">
        <x:v>937</x:v>
      </x:c>
      <x:c r="I173" s="26">
        <x:v>32</x:v>
      </x:c>
      <x:c r="J173" s="24" t="s">
        <x:v>334</x:v>
      </x:c>
      <x:c r="K173" s="24" t="s">
        <x:v>1549</x:v>
      </x:c>
      <x:c r="L173" s="26">
        <x:v>3</x:v>
      </x:c>
      <x:c r="M173" s="26">
        <x:v>3</x:v>
      </x:c>
      <x:c r="N173" s="26">
        <x:v>3</x:v>
      </x:c>
      <x:c r="O173" s="26">
        <x:v>0</x:v>
      </x:c>
      <x:c r="P173" s="26">
        <x:v>0</x:v>
      </x:c>
      <x:c r="Q173" s="27" t="s">
        <x:v>1656</x:v>
      </x:c>
      <x:c r="R173" s="26">
        <x:v>2837</x:v>
      </x:c>
      <x:c r="S173" s="27"/>
      <x:c r="T173" s="24" t="s">
        <x:v>857</x:v>
      </x:c>
      <x:c r="U173" s="24" t="s">
        <x:v>1399</x:v>
      </x:c>
    </x:row>
    <x:row r="174" ht="18" customHeight="1">
      <x:c r="A174" s="26">
        <x:v>1916</x:v>
      </x:c>
      <x:c r="B174" s="24" t="s">
        <x:v>72</x:v>
      </x:c>
      <x:c r="C174" s="24" t="s">
        <x:v>72</x:v>
      </x:c>
      <x:c r="D174" s="24" t="s">
        <x:v>81</x:v>
      </x:c>
      <x:c r="E174" s="24">
        <x:v>3</x:v>
      </x:c>
      <x:c r="F174" s="24" t="s">
        <x:v>317</x:v>
      </x:c>
      <x:c r="G174" s="26">
        <x:v>25</x:v>
      </x:c>
      <x:c r="H174" s="26">
        <x:v>980</x:v>
      </x:c>
      <x:c r="I174" s="26">
        <x:v>28</x:v>
      </x:c>
      <x:c r="J174" s="24" t="s">
        <x:v>334</x:v>
      </x:c>
      <x:c r="K174" s="24" t="s">
        <x:v>1549</x:v>
      </x:c>
      <x:c r="L174" s="26">
        <x:v>3</x:v>
      </x:c>
      <x:c r="M174" s="26">
        <x:v>2</x:v>
      </x:c>
      <x:c r="N174" s="26">
        <x:v>2</x:v>
      </x:c>
      <x:c r="O174" s="26">
        <x:v>1</x:v>
      </x:c>
      <x:c r="P174" s="26">
        <x:v>0</x:v>
      </x:c>
      <x:c r="Q174" s="27" t="s">
        <x:v>1432</x:v>
      </x:c>
      <x:c r="R174" s="26">
        <x:v>2853</x:v>
      </x:c>
      <x:c r="S174" s="27"/>
      <x:c r="T174" s="24" t="s">
        <x:v>857</x:v>
      </x:c>
      <x:c r="U174" s="24" t="s">
        <x:v>1399</x:v>
      </x:c>
    </x:row>
    <x:row r="175" ht="18" customHeight="1">
      <x:c r="A175" s="26">
        <x:v>1901</x:v>
      </x:c>
      <x:c r="B175" s="24" t="s">
        <x:v>350</x:v>
      </x:c>
      <x:c r="C175" s="24" t="s">
        <x:v>1790</x:v>
      </x:c>
      <x:c r="D175" s="24" t="s">
        <x:v>1788</x:v>
      </x:c>
      <x:c r="E175" s="24" t="s">
        <x:v>1791</x:v>
      </x:c>
      <x:c r="F175" s="24" t="s">
        <x:v>317</x:v>
      </x:c>
      <x:c r="G175" s="26">
        <x:v>20</x:v>
      </x:c>
      <x:c r="H175" s="26">
        <x:v>432</x:v>
      </x:c>
      <x:c r="I175" s="26">
        <x:v>18</x:v>
      </x:c>
      <x:c r="J175" s="24" t="s">
        <x:v>1411</x:v>
      </x:c>
      <x:c r="K175" s="24" t="s">
        <x:v>1549</x:v>
      </x:c>
      <x:c r="L175" s="26">
        <x:v>2</x:v>
      </x:c>
      <x:c r="M175" s="26">
        <x:v>1</x:v>
      </x:c>
      <x:c r="N175" s="26">
        <x:v>1</x:v>
      </x:c>
      <x:c r="O175" s="26">
        <x:v>0</x:v>
      </x:c>
      <x:c r="P175" s="26">
        <x:v>0</x:v>
      </x:c>
      <x:c r="Q175" s="27"/>
      <x:c r="R175" s="26">
        <x:v>2499</x:v>
      </x:c>
      <x:c r="S175" s="27"/>
      <x:c r="T175" s="24" t="s">
        <x:v>1398</x:v>
      </x:c>
      <x:c r="U175" s="24" t="s">
        <x:v>1399</x:v>
      </x:c>
    </x:row>
    <x:row r="176" ht="18" customHeight="1">
      <x:c r="A176" s="26">
        <x:v>1923</x:v>
      </x:c>
      <x:c r="B176" s="24" t="s">
        <x:v>202</x:v>
      </x:c>
      <x:c r="C176" s="24" t="s">
        <x:v>1792</x:v>
      </x:c>
      <x:c r="D176" s="24" t="s">
        <x:v>1793</x:v>
      </x:c>
      <x:c r="E176" s="24" t="s">
        <x:v>1469</x:v>
      </x:c>
      <x:c r="F176" s="24" t="s">
        <x:v>318</x:v>
      </x:c>
      <x:c r="G176" s="26">
        <x:v>65</x:v>
      </x:c>
      <x:c r="H176" s="26">
        <x:v>1948</x:v>
      </x:c>
      <x:c r="I176" s="26">
        <x:v>42</x:v>
      </x:c>
      <x:c r="J176" s="24" t="s">
        <x:v>334</x:v>
      </x:c>
      <x:c r="K176" s="24" t="s">
        <x:v>1507</x:v>
      </x:c>
      <x:c r="L176" s="26">
        <x:v>4</x:v>
      </x:c>
      <x:c r="M176" s="26">
        <x:v>4</x:v>
      </x:c>
      <x:c r="N176" s="26">
        <x:v>4</x:v>
      </x:c>
      <x:c r="O176" s="26">
        <x:v>3</x:v>
      </x:c>
      <x:c r="P176" s="26">
        <x:v>0</x:v>
      </x:c>
      <x:c r="Q176" s="27" t="s">
        <x:v>1794</x:v>
      </x:c>
      <x:c r="R176" s="26">
        <x:v>2926</x:v>
      </x:c>
      <x:c r="S176" s="27"/>
      <x:c r="T176" s="24" t="s">
        <x:v>857</x:v>
      </x:c>
      <x:c r="U176" s="24" t="s">
        <x:v>1399</x:v>
      </x:c>
    </x:row>
    <x:row r="177" ht="18" customHeight="1">
      <x:c r="A177" s="26">
        <x:v>1924</x:v>
      </x:c>
      <x:c r="B177" s="24" t="s">
        <x:v>192</x:v>
      </x:c>
      <x:c r="C177" s="24" t="s">
        <x:v>1795</x:v>
      </x:c>
      <x:c r="D177" s="24" t="s">
        <x:v>1793</x:v>
      </x:c>
      <x:c r="E177" s="24" t="s">
        <x:v>1441</x:v>
      </x:c>
      <x:c r="F177" s="24" t="s">
        <x:v>318</x:v>
      </x:c>
      <x:c r="G177" s="26">
        <x:v>65</x:v>
      </x:c>
      <x:c r="H177" s="26">
        <x:v>1592</x:v>
      </x:c>
      <x:c r="I177" s="26">
        <x:v>35</x:v>
      </x:c>
      <x:c r="J177" s="24" t="s">
        <x:v>334</x:v>
      </x:c>
      <x:c r="K177" s="24" t="s">
        <x:v>1507</x:v>
      </x:c>
      <x:c r="L177" s="26">
        <x:v>4</x:v>
      </x:c>
      <x:c r="M177" s="26">
        <x:v>4</x:v>
      </x:c>
      <x:c r="N177" s="26">
        <x:v>4</x:v>
      </x:c>
      <x:c r="O177" s="26">
        <x:v>2</x:v>
      </x:c>
      <x:c r="P177" s="26">
        <x:v>0</x:v>
      </x:c>
      <x:c r="Q177" s="27" t="s">
        <x:v>1796</x:v>
      </x:c>
      <x:c r="R177" s="26">
        <x:v>2926</x:v>
      </x:c>
      <x:c r="S177" s="27"/>
      <x:c r="T177" s="24" t="s">
        <x:v>857</x:v>
      </x:c>
      <x:c r="U177" s="24" t="s">
        <x:v>1399</x:v>
      </x:c>
    </x:row>
    <x:row r="178">
      <x:c r="A178" s="52">
        <x:v>1925</x:v>
      </x:c>
      <x:c r="B178" t="s">
        <x:v>214</x:v>
      </x:c>
      <x:c r="C178" t="s">
        <x:v>1797</x:v>
      </x:c>
      <x:c r="D178" t="s">
        <x:v>1793</x:v>
      </x:c>
      <x:c r="E178" t="s">
        <x:v>1406</x:v>
      </x:c>
      <x:c r="F178" t="s">
        <x:v>318</x:v>
      </x:c>
      <x:c r="G178" s="52">
        <x:v>65</x:v>
      </x:c>
      <x:c r="H178" s="52">
        <x:v>2076</x:v>
      </x:c>
      <x:c r="I178" s="52">
        <x:v>40</x:v>
      </x:c>
      <x:c r="J178" t="s">
        <x:v>334</x:v>
      </x:c>
      <x:c r="K178" t="s">
        <x:v>1507</x:v>
      </x:c>
      <x:c r="L178" s="52">
        <x:v>4</x:v>
      </x:c>
      <x:c r="M178" s="52">
        <x:v>5</x:v>
      </x:c>
      <x:c r="N178" s="52">
        <x:v>5</x:v>
      </x:c>
      <x:c r="O178" s="52">
        <x:v>2</x:v>
      </x:c>
      <x:c r="P178" s="52">
        <x:v>0</x:v>
      </x:c>
      <x:c r="Q178" t="s">
        <x:v>1589</x:v>
      </x:c>
      <x:c r="R178" s="52">
        <x:v>3054</x:v>
      </x:c>
      <x:c r="S178" t="s">
        <x:v>1677</x:v>
      </x:c>
      <x:c r="T178" t="s">
        <x:v>857</x:v>
      </x:c>
      <x:c r="U178" t="s">
        <x:v>1399</x:v>
      </x:c>
    </x:row>
    <x:row r="179">
      <x:c r="A179" s="52">
        <x:v>7594</x:v>
      </x:c>
      <x:c r="B179" t="s">
        <x:v>203</x:v>
      </x:c>
      <x:c r="C179" t="s">
        <x:v>1798</x:v>
      </x:c>
      <x:c r="D179" t="s">
        <x:v>1793</x:v>
      </x:c>
      <x:c r="E179" t="s">
        <x:v>1799</x:v>
      </x:c>
      <x:c r="F179" t="s">
        <x:v>318</x:v>
      </x:c>
      <x:c r="G179" s="52">
        <x:v>65</x:v>
      </x:c>
      <x:c r="H179" s="52">
        <x:v>2200</x:v>
      </x:c>
      <x:c r="I179" s="52">
        <x:v>42</x:v>
      </x:c>
      <x:c r="J179" t="s">
        <x:v>1253</x:v>
      </x:c>
      <x:c r="K179" t="s">
        <x:v>1507</x:v>
      </x:c>
      <x:c r="L179" s="52">
        <x:v>4</x:v>
      </x:c>
      <x:c r="M179" s="52">
        <x:v>5</x:v>
      </x:c>
      <x:c r="N179" s="52">
        <x:v>5</x:v>
      </x:c>
      <x:c r="O179" s="52">
        <x:v>4</x:v>
      </x:c>
      <x:c r="P179" s="52">
        <x:v>0</x:v>
      </x:c>
      <x:c r="Q179" t="s">
        <x:v>1473</x:v>
      </x:c>
      <x:c r="R179" s="52">
        <x:v>3052</x:v>
      </x:c>
      <x:c r="T179" t="s">
        <x:v>857</x:v>
      </x:c>
      <x:c r="U179" t="s">
        <x:v>1399</x:v>
      </x:c>
    </x:row>
    <x:row r="180">
      <x:c r="A180" s="52">
        <x:v>1929</x:v>
      </x:c>
      <x:c r="B180" t="s">
        <x:v>191</x:v>
      </x:c>
      <x:c r="C180" t="s">
        <x:v>1800</x:v>
      </x:c>
      <x:c r="D180" t="s">
        <x:v>1793</x:v>
      </x:c>
      <x:c r="E180" t="s">
        <x:v>1444</x:v>
      </x:c>
      <x:c r="F180" t="s">
        <x:v>318</x:v>
      </x:c>
      <x:c r="G180" s="52">
        <x:v>65</x:v>
      </x:c>
      <x:c r="H180" s="52">
        <x:v>2654</x:v>
      </x:c>
      <x:c r="I180" s="52">
        <x:v>44</x:v>
      </x:c>
      <x:c r="J180" t="s">
        <x:v>334</x:v>
      </x:c>
      <x:c r="K180" t="s">
        <x:v>1507</x:v>
      </x:c>
      <x:c r="L180" s="52">
        <x:v>4</x:v>
      </x:c>
      <x:c r="M180" s="52">
        <x:v>4</x:v>
      </x:c>
      <x:c r="N180" s="52">
        <x:v>4</x:v>
      </x:c>
      <x:c r="O180" s="52">
        <x:v>2</x:v>
      </x:c>
      <x:c r="P180" s="52">
        <x:v>0</x:v>
      </x:c>
      <x:c r="Q180" t="s">
        <x:v>1801</x:v>
      </x:c>
      <x:c r="R180" s="52">
        <x:v>2926</x:v>
      </x:c>
      <x:c r="T180" t="s">
        <x:v>857</x:v>
      </x:c>
      <x:c r="U180" t="s">
        <x:v>1399</x:v>
      </x:c>
    </x:row>
    <x:row r="181">
      <x:c r="A181" s="52">
        <x:v>1968</x:v>
      </x:c>
      <x:c r="B181" t="s">
        <x:v>152</x:v>
      </x:c>
      <x:c r="C181" t="s">
        <x:v>1802</x:v>
      </x:c>
      <x:c r="D181" t="s">
        <x:v>1803</x:v>
      </x:c>
      <x:c r="E181" t="s">
        <x:v>1804</x:v>
      </x:c>
      <x:c r="F181" t="s">
        <x:v>319</x:v>
      </x:c>
      <x:c r="G181" s="52">
        <x:v>55</x:v>
      </x:c>
      <x:c r="H181" s="52">
        <x:v>1725</x:v>
      </x:c>
      <x:c r="I181" s="52">
        <x:v>38</x:v>
      </x:c>
      <x:c r="J181" t="s">
        <x:v>1001</x:v>
      </x:c>
      <x:c r="K181" t="s">
        <x:v>1470</x:v>
      </x:c>
      <x:c r="L181" s="52">
        <x:v>6</x:v>
      </x:c>
      <x:c r="M181" s="52">
        <x:v>4</x:v>
      </x:c>
      <x:c r="N181" s="52">
        <x:v>4</x:v>
      </x:c>
      <x:c r="O181" s="52">
        <x:v>1</x:v>
      </x:c>
      <x:c r="P181" s="52">
        <x:v>0</x:v>
      </x:c>
      <x:c r="Q181" t="s">
        <x:v>1432</x:v>
      </x:c>
      <x:c r="R181" s="52">
        <x:v>2761</x:v>
      </x:c>
      <x:c r="T181" t="s">
        <x:v>1398</x:v>
      </x:c>
      <x:c r="U181" t="s">
        <x:v>1399</x:v>
      </x:c>
    </x:row>
    <x:row r="182">
      <x:c r="A182" s="52">
        <x:v>1978</x:v>
      </x:c>
      <x:c r="B182" t="s">
        <x:v>210</x:v>
      </x:c>
      <x:c r="C182" t="s">
        <x:v>1805</x:v>
      </x:c>
      <x:c r="D182" t="s">
        <x:v>1806</x:v>
      </x:c>
      <x:c r="E182" t="s">
        <x:v>1469</x:v>
      </x:c>
      <x:c r="F182" t="s">
        <x:v>318</x:v>
      </x:c>
      <x:c r="G182" s="52">
        <x:v>75</x:v>
      </x:c>
      <x:c r="H182" s="52">
        <x:v>2854</x:v>
      </x:c>
      <x:c r="I182" s="52">
        <x:v>59</x:v>
      </x:c>
      <x:c r="J182" t="s">
        <x:v>1001</x:v>
      </x:c>
      <x:c r="K182" t="s">
        <x:v>1507</x:v>
      </x:c>
      <x:c r="L182" s="52">
        <x:v>8</x:v>
      </x:c>
      <x:c r="M182" s="52">
        <x:v>7</x:v>
      </x:c>
      <x:c r="N182" s="52">
        <x:v>7</x:v>
      </x:c>
      <x:c r="O182" s="52">
        <x:v>3</x:v>
      </x:c>
      <x:c r="P182" s="52">
        <x:v>0</x:v>
      </x:c>
      <x:c r="Q182" t="s">
        <x:v>1473</x:v>
      </x:c>
      <x:c r="R182" s="52">
        <x:v>2945</x:v>
      </x:c>
      <x:c r="T182" t="s">
        <x:v>857</x:v>
      </x:c>
      <x:c r="U182" t="s">
        <x:v>1399</x:v>
      </x:c>
    </x:row>
    <x:row r="183">
      <x:c r="A183" s="52">
        <x:v>1979</x:v>
      </x:c>
      <x:c r="B183" t="s">
        <x:v>197</x:v>
      </x:c>
      <x:c r="C183" t="s">
        <x:v>1807</x:v>
      </x:c>
      <x:c r="D183" t="s">
        <x:v>1806</x:v>
      </x:c>
      <x:c r="E183" t="s">
        <x:v>1441</x:v>
      </x:c>
      <x:c r="F183" t="s">
        <x:v>318</x:v>
      </x:c>
      <x:c r="G183" s="52">
        <x:v>75</x:v>
      </x:c>
      <x:c r="H183" s="52">
        <x:v>2224</x:v>
      </x:c>
      <x:c r="I183" s="52">
        <x:v>48</x:v>
      </x:c>
      <x:c r="J183" t="s">
        <x:v>1253</x:v>
      </x:c>
      <x:c r="K183" t="s">
        <x:v>1507</x:v>
      </x:c>
      <x:c r="L183" s="52">
        <x:v>8</x:v>
      </x:c>
      <x:c r="M183" s="52">
        <x:v>4</x:v>
      </x:c>
      <x:c r="N183" s="52">
        <x:v>4</x:v>
      </x:c>
      <x:c r="O183" s="52">
        <x:v>4</x:v>
      </x:c>
      <x:c r="P183" s="52">
        <x:v>0</x:v>
      </x:c>
      <x:c r="Q183" t="s">
        <x:v>1567</x:v>
      </x:c>
      <x:c r="R183" s="52">
        <x:v>2945</x:v>
      </x:c>
      <x:c r="T183" t="s">
        <x:v>857</x:v>
      </x:c>
      <x:c r="U183" t="s">
        <x:v>1399</x:v>
      </x:c>
    </x:row>
    <x:row r="184">
      <x:c r="A184" s="52">
        <x:v>1980</x:v>
      </x:c>
      <x:c r="B184" t="s">
        <x:v>204</x:v>
      </x:c>
      <x:c r="C184" t="s">
        <x:v>1808</x:v>
      </x:c>
      <x:c r="D184" t="s">
        <x:v>1806</x:v>
      </x:c>
      <x:c r="E184" t="s">
        <x:v>1406</x:v>
      </x:c>
      <x:c r="F184" t="s">
        <x:v>318</x:v>
      </x:c>
      <x:c r="G184" s="52">
        <x:v>75</x:v>
      </x:c>
      <x:c r="H184" s="52">
        <x:v>2500</x:v>
      </x:c>
      <x:c r="I184" s="52">
        <x:v>50</x:v>
      </x:c>
      <x:c r="J184" t="s">
        <x:v>1253</x:v>
      </x:c>
      <x:c r="K184" t="s">
        <x:v>1507</x:v>
      </x:c>
      <x:c r="L184" s="52">
        <x:v>8</x:v>
      </x:c>
      <x:c r="M184" s="52">
        <x:v>4</x:v>
      </x:c>
      <x:c r="N184" s="52">
        <x:v>4</x:v>
      </x:c>
      <x:c r="O184" s="52">
        <x:v>4</x:v>
      </x:c>
      <x:c r="P184" s="52">
        <x:v>0</x:v>
      </x:c>
      <x:c r="Q184" t="s">
        <x:v>1809</x:v>
      </x:c>
      <x:c r="R184" s="52">
        <x:v>2945</x:v>
      </x:c>
      <x:c r="T184" t="s">
        <x:v>857</x:v>
      </x:c>
      <x:c r="U184" t="s">
        <x:v>1399</x:v>
      </x:c>
    </x:row>
    <x:row r="185">
      <x:c r="A185" s="52">
        <x:v>1981</x:v>
      </x:c>
      <x:c r="B185" t="s">
        <x:v>185</x:v>
      </x:c>
      <x:c r="C185" t="s">
        <x:v>1810</x:v>
      </x:c>
      <x:c r="D185" t="s">
        <x:v>1806</x:v>
      </x:c>
      <x:c r="E185" t="s">
        <x:v>1476</x:v>
      </x:c>
      <x:c r="F185" t="s">
        <x:v>318</x:v>
      </x:c>
      <x:c r="G185" s="52">
        <x:v>75</x:v>
      </x:c>
      <x:c r="H185" s="52">
        <x:v>2682</x:v>
      </x:c>
      <x:c r="I185" s="52">
        <x:v>51</x:v>
      </x:c>
      <x:c r="J185" t="s">
        <x:v>1001</x:v>
      </x:c>
      <x:c r="K185" t="s">
        <x:v>1507</x:v>
      </x:c>
      <x:c r="L185" s="52">
        <x:v>8</x:v>
      </x:c>
      <x:c r="M185" s="52">
        <x:v>5</x:v>
      </x:c>
      <x:c r="N185" s="52">
        <x:v>5</x:v>
      </x:c>
      <x:c r="O185" s="52">
        <x:v>3</x:v>
      </x:c>
      <x:c r="P185" s="52">
        <x:v>0</x:v>
      </x:c>
      <x:c r="Q185" t="s">
        <x:v>1811</x:v>
      </x:c>
      <x:c r="R185" s="52">
        <x:v>2945</x:v>
      </x:c>
      <x:c r="T185" t="s">
        <x:v>857</x:v>
      </x:c>
      <x:c r="U185" t="s">
        <x:v>1399</x:v>
      </x:c>
    </x:row>
    <x:row r="186">
      <x:c r="A186" s="52">
        <x:v>1985</x:v>
      </x:c>
      <x:c r="B186" t="s">
        <x:v>178</x:v>
      </x:c>
      <x:c r="C186" t="s">
        <x:v>1812</x:v>
      </x:c>
      <x:c r="D186" t="s">
        <x:v>1806</x:v>
      </x:c>
      <x:c r="E186" t="s">
        <x:v>1444</x:v>
      </x:c>
      <x:c r="F186" t="s">
        <x:v>318</x:v>
      </x:c>
      <x:c r="G186" s="52">
        <x:v>75</x:v>
      </x:c>
      <x:c r="H186" s="52">
        <x:v>2737</x:v>
      </x:c>
      <x:c r="I186" s="52">
        <x:v>54</x:v>
      </x:c>
      <x:c r="J186" t="s">
        <x:v>947</x:v>
      </x:c>
      <x:c r="K186" t="s">
        <x:v>1507</x:v>
      </x:c>
      <x:c r="L186" s="52">
        <x:v>8</x:v>
      </x:c>
      <x:c r="M186" s="52">
        <x:v>5</x:v>
      </x:c>
      <x:c r="N186" s="52">
        <x:v>5</x:v>
      </x:c>
      <x:c r="O186" s="52">
        <x:v>4</x:v>
      </x:c>
      <x:c r="P186" s="52">
        <x:v>0</x:v>
      </x:c>
      <x:c r="Q186" t="s">
        <x:v>1813</x:v>
      </x:c>
      <x:c r="R186" s="52">
        <x:v>2945</x:v>
      </x:c>
      <x:c r="T186" t="s">
        <x:v>857</x:v>
      </x:c>
      <x:c r="U186" t="s">
        <x:v>1399</x:v>
      </x:c>
    </x:row>
    <x:row r="187">
      <x:c r="A187" s="52">
        <x:v>1986</x:v>
      </x:c>
      <x:c r="B187" t="s">
        <x:v>183</x:v>
      </x:c>
      <x:c r="C187" t="s">
        <x:v>1814</x:v>
      </x:c>
      <x:c r="D187" t="s">
        <x:v>1806</x:v>
      </x:c>
      <x:c r="E187" t="s">
        <x:v>1480</x:v>
      </x:c>
      <x:c r="F187" t="s">
        <x:v>318</x:v>
      </x:c>
      <x:c r="G187" s="52">
        <x:v>75</x:v>
      </x:c>
      <x:c r="H187" s="52">
        <x:v>2462</x:v>
      </x:c>
      <x:c r="I187" s="52">
        <x:v>54</x:v>
      </x:c>
      <x:c r="J187" t="s">
        <x:v>1001</x:v>
      </x:c>
      <x:c r="K187" t="s">
        <x:v>1470</x:v>
      </x:c>
      <x:c r="L187" s="52">
        <x:v>8</x:v>
      </x:c>
      <x:c r="M187" s="52">
        <x:v>6</x:v>
      </x:c>
      <x:c r="N187" s="52">
        <x:v>6</x:v>
      </x:c>
      <x:c r="O187" s="52">
        <x:v>2</x:v>
      </x:c>
      <x:c r="P187" s="52">
        <x:v>0</x:v>
      </x:c>
      <x:c r="Q187" t="s">
        <x:v>1815</x:v>
      </x:c>
      <x:c r="R187" s="52">
        <x:v>3050</x:v>
      </x:c>
      <x:c r="T187" t="s">
        <x:v>857</x:v>
      </x:c>
      <x:c r="U187" t="s">
        <x:v>1399</x:v>
      </x:c>
    </x:row>
    <x:row r="188">
      <x:c r="A188" s="52">
        <x:v>7595</x:v>
      </x:c>
      <x:c r="B188" t="s">
        <x:v>195</x:v>
      </x:c>
      <x:c r="C188" t="s">
        <x:v>1816</x:v>
      </x:c>
      <x:c r="D188" t="s">
        <x:v>1806</x:v>
      </x:c>
      <x:c r="E188" t="s">
        <x:v>1669</x:v>
      </x:c>
      <x:c r="F188" t="s">
        <x:v>318</x:v>
      </x:c>
      <x:c r="G188" s="52">
        <x:v>75</x:v>
      </x:c>
      <x:c r="H188" s="52">
        <x:v>2903</x:v>
      </x:c>
      <x:c r="I188" s="52">
        <x:v>52</x:v>
      </x:c>
      <x:c r="J188" t="s">
        <x:v>1001</x:v>
      </x:c>
      <x:c r="K188" t="s">
        <x:v>1470</x:v>
      </x:c>
      <x:c r="L188" s="52">
        <x:v>8</x:v>
      </x:c>
      <x:c r="M188" s="52">
        <x:v>5</x:v>
      </x:c>
      <x:c r="N188" s="52">
        <x:v>5</x:v>
      </x:c>
      <x:c r="O188" s="52">
        <x:v>3</x:v>
      </x:c>
      <x:c r="P188" s="52">
        <x:v>0</x:v>
      </x:c>
      <x:c r="Q188" t="s">
        <x:v>1473</x:v>
      </x:c>
      <x:c r="R188" s="52">
        <x:v>3052</x:v>
      </x:c>
      <x:c r="T188" t="s">
        <x:v>857</x:v>
      </x:c>
      <x:c r="U188" t="s">
        <x:v>1399</x:v>
      </x:c>
    </x:row>
    <x:row r="189">
      <x:c r="A189" s="52">
        <x:v>2002</x:v>
      </x:c>
      <x:c r="B189" t="s">
        <x:v>268</x:v>
      </x:c>
      <x:c r="C189" t="s">
        <x:v>1817</x:v>
      </x:c>
      <x:c r="D189" t="s">
        <x:v>1818</x:v>
      </x:c>
      <x:c r="E189" t="s">
        <x:v>1469</x:v>
      </x:c>
      <x:c r="F189" t="s">
        <x:v>324</x:v>
      </x:c>
      <x:c r="G189" s="52">
        <x:v>80</x:v>
      </x:c>
      <x:c r="H189" s="52">
        <x:v>2689</x:v>
      </x:c>
      <x:c r="I189" s="52">
        <x:v>47</x:v>
      </x:c>
      <x:c r="J189" t="s">
        <x:v>1001</x:v>
      </x:c>
      <x:c r="K189" t="s">
        <x:v>1507</x:v>
      </x:c>
      <x:c r="L189" s="52">
        <x:v>7</x:v>
      </x:c>
      <x:c r="M189" s="52">
        <x:v>4</x:v>
      </x:c>
      <x:c r="N189" s="52">
        <x:v>4</x:v>
      </x:c>
      <x:c r="O189" s="52">
        <x:v>3</x:v>
      </x:c>
      <x:c r="P189" s="52">
        <x:v>0</x:v>
      </x:c>
      <x:c r="Q189" t="s">
        <x:v>1634</x:v>
      </x:c>
      <x:c r="R189" s="52">
        <x:v>2945</x:v>
      </x:c>
      <x:c r="T189" t="s">
        <x:v>857</x:v>
      </x:c>
      <x:c r="U189" t="s">
        <x:v>1399</x:v>
      </x:c>
    </x:row>
    <x:row r="190">
      <x:c r="A190" s="52">
        <x:v>2003</x:v>
      </x:c>
      <x:c r="B190" t="s">
        <x:v>250</x:v>
      </x:c>
      <x:c r="C190" t="s">
        <x:v>1819</x:v>
      </x:c>
      <x:c r="D190" t="s">
        <x:v>1818</x:v>
      </x:c>
      <x:c r="E190" t="s">
        <x:v>1441</x:v>
      </x:c>
      <x:c r="F190" t="s">
        <x:v>324</x:v>
      </x:c>
      <x:c r="G190" s="52">
        <x:v>80</x:v>
      </x:c>
      <x:c r="H190" s="52">
        <x:v>1843</x:v>
      </x:c>
      <x:c r="I190" s="52">
        <x:v>41</x:v>
      </x:c>
      <x:c r="J190" t="s">
        <x:v>1253</x:v>
      </x:c>
      <x:c r="K190" t="s">
        <x:v>1507</x:v>
      </x:c>
      <x:c r="L190" s="52">
        <x:v>7</x:v>
      </x:c>
      <x:c r="M190" s="52">
        <x:v>3</x:v>
      </x:c>
      <x:c r="N190" s="52">
        <x:v>3</x:v>
      </x:c>
      <x:c r="O190" s="52">
        <x:v>3</x:v>
      </x:c>
      <x:c r="P190" s="52">
        <x:v>0</x:v>
      </x:c>
      <x:c r="Q190" t="s">
        <x:v>1567</x:v>
      </x:c>
      <x:c r="R190" s="52">
        <x:v>2945</x:v>
      </x:c>
      <x:c r="T190" t="s">
        <x:v>857</x:v>
      </x:c>
      <x:c r="U190" t="s">
        <x:v>1399</x:v>
      </x:c>
    </x:row>
    <x:row r="191">
      <x:c r="A191" s="52">
        <x:v>2004</x:v>
      </x:c>
      <x:c r="B191" t="s">
        <x:v>258</x:v>
      </x:c>
      <x:c r="C191" t="s">
        <x:v>1820</x:v>
      </x:c>
      <x:c r="D191" t="s">
        <x:v>1818</x:v>
      </x:c>
      <x:c r="E191" t="s">
        <x:v>1406</x:v>
      </x:c>
      <x:c r="F191" t="s">
        <x:v>324</x:v>
      </x:c>
      <x:c r="G191" s="52">
        <x:v>80</x:v>
      </x:c>
      <x:c r="H191" s="52">
        <x:v>2437</x:v>
      </x:c>
      <x:c r="I191" s="52">
        <x:v>50</x:v>
      </x:c>
      <x:c r="J191" t="s">
        <x:v>1001</x:v>
      </x:c>
      <x:c r="K191" t="s">
        <x:v>1507</x:v>
      </x:c>
      <x:c r="L191" s="52">
        <x:v>7</x:v>
      </x:c>
      <x:c r="M191" s="52">
        <x:v>6</x:v>
      </x:c>
      <x:c r="N191" s="52">
        <x:v>6</x:v>
      </x:c>
      <x:c r="O191" s="52">
        <x:v>0</x:v>
      </x:c>
      <x:c r="P191" s="52">
        <x:v>0</x:v>
      </x:c>
      <x:c r="Q191" t="s">
        <x:v>1473</x:v>
      </x:c>
      <x:c r="R191" s="52">
        <x:v>2945</x:v>
      </x:c>
      <x:c r="T191" t="s">
        <x:v>857</x:v>
      </x:c>
      <x:c r="U191" t="s">
        <x:v>1399</x:v>
      </x:c>
    </x:row>
    <x:row r="192">
      <x:c r="A192" s="52">
        <x:v>2005</x:v>
      </x:c>
      <x:c r="B192" t="s">
        <x:v>252</x:v>
      </x:c>
      <x:c r="C192" t="s">
        <x:v>1821</x:v>
      </x:c>
      <x:c r="D192" t="s">
        <x:v>1818</x:v>
      </x:c>
      <x:c r="E192" t="s">
        <x:v>1476</x:v>
      </x:c>
      <x:c r="F192" t="s">
        <x:v>324</x:v>
      </x:c>
      <x:c r="G192" s="52">
        <x:v>80</x:v>
      </x:c>
      <x:c r="H192" s="52">
        <x:v>2499</x:v>
      </x:c>
      <x:c r="I192" s="52">
        <x:v>52</x:v>
      </x:c>
      <x:c r="J192" t="s">
        <x:v>1001</x:v>
      </x:c>
      <x:c r="K192" t="s">
        <x:v>1507</x:v>
      </x:c>
      <x:c r="L192" s="52">
        <x:v>7</x:v>
      </x:c>
      <x:c r="M192" s="52">
        <x:v>6</x:v>
      </x:c>
      <x:c r="N192" s="52">
        <x:v>6</x:v>
      </x:c>
      <x:c r="O192" s="52">
        <x:v>3</x:v>
      </x:c>
      <x:c r="P192" s="52">
        <x:v>0</x:v>
      </x:c>
      <x:c r="Q192" t="s">
        <x:v>1443</x:v>
      </x:c>
      <x:c r="R192" s="52">
        <x:v>2945</x:v>
      </x:c>
      <x:c r="T192" t="s">
        <x:v>857</x:v>
      </x:c>
      <x:c r="U192" t="s">
        <x:v>1399</x:v>
      </x:c>
    </x:row>
    <x:row r="193">
      <x:c r="A193" s="52">
        <x:v>2010</x:v>
      </x:c>
      <x:c r="B193" t="s">
        <x:v>270</x:v>
      </x:c>
      <x:c r="C193" t="s">
        <x:v>1822</x:v>
      </x:c>
      <x:c r="D193" t="s">
        <x:v>1818</x:v>
      </x:c>
      <x:c r="E193" t="s">
        <x:v>1444</x:v>
      </x:c>
      <x:c r="F193" t="s">
        <x:v>324</x:v>
      </x:c>
      <x:c r="G193" s="52">
        <x:v>80</x:v>
      </x:c>
      <x:c r="H193" s="52">
        <x:v>1537</x:v>
      </x:c>
      <x:c r="I193" s="52">
        <x:v>38</x:v>
      </x:c>
      <x:c r="J193" t="s">
        <x:v>1001</x:v>
      </x:c>
      <x:c r="K193" t="s">
        <x:v>1507</x:v>
      </x:c>
      <x:c r="L193" s="52">
        <x:v>7</x:v>
      </x:c>
      <x:c r="M193" s="52">
        <x:v>3</x:v>
      </x:c>
      <x:c r="N193" s="52">
        <x:v>3</x:v>
      </x:c>
      <x:c r="O193" s="52">
        <x:v>1</x:v>
      </x:c>
      <x:c r="P193" s="52">
        <x:v>0</x:v>
      </x:c>
      <x:c r="Q193" t="s">
        <x:v>1823</x:v>
      </x:c>
      <x:c r="R193" s="52">
        <x:v>2945</x:v>
      </x:c>
      <x:c r="T193" t="s">
        <x:v>857</x:v>
      </x:c>
      <x:c r="U193" t="s">
        <x:v>1399</x:v>
      </x:c>
    </x:row>
    <x:row r="194">
      <x:c r="A194" s="52">
        <x:v>2032</x:v>
      </x:c>
      <x:c r="B194" t="s">
        <x:v>223</x:v>
      </x:c>
      <x:c r="C194" t="s">
        <x:v>223</x:v>
      </x:c>
      <x:c r="D194" t="s">
        <x:v>1824</x:v>
      </x:c>
      <x:c r="E194" t="s">
        <x:v>1406</x:v>
      </x:c>
      <x:c r="F194" t="s">
        <x:v>318</x:v>
      </x:c>
      <x:c r="G194" s="52">
        <x:v>75</x:v>
      </x:c>
      <x:c r="H194" s="52">
        <x:v>1711</x:v>
      </x:c>
      <x:c r="I194" s="52">
        <x:v>36</x:v>
      </x:c>
      <x:c r="J194" t="s">
        <x:v>1253</x:v>
      </x:c>
      <x:c r="K194" t="s">
        <x:v>1396</x:v>
      </x:c>
      <x:c r="L194" s="52">
        <x:v>6</x:v>
      </x:c>
      <x:c r="M194" s="52">
        <x:v>3</x:v>
      </x:c>
      <x:c r="N194" s="52">
        <x:v>3</x:v>
      </x:c>
      <x:c r="O194" s="52">
        <x:v>3</x:v>
      </x:c>
      <x:c r="P194" s="52">
        <x:v>0</x:v>
      </x:c>
      <x:c r="Q194" t="s">
        <x:v>1656</x:v>
      </x:c>
      <x:c r="R194" s="52">
        <x:v>3050</x:v>
      </x:c>
      <x:c r="T194" t="s">
        <x:v>1368</x:v>
      </x:c>
      <x:c r="U194" t="s">
        <x:v>1399</x:v>
      </x:c>
    </x:row>
    <x:row r="195">
      <x:c r="A195" s="52">
        <x:v>2065</x:v>
      </x:c>
      <x:c r="B195" t="s">
        <x:v>292</x:v>
      </x:c>
      <x:c r="C195" t="s">
        <x:v>1825</x:v>
      </x:c>
      <x:c r="D195" t="s">
        <x:v>292</x:v>
      </x:c>
      <x:c r="E195" t="s">
        <x:v>1435</x:v>
      </x:c>
      <x:c r="F195" t="s">
        <x:v>324</x:v>
      </x:c>
      <x:c r="G195" s="52">
        <x:v>85</x:v>
      </x:c>
      <x:c r="H195" s="52">
        <x:v>2680</x:v>
      </x:c>
      <x:c r="I195" s="52">
        <x:v>51</x:v>
      </x:c>
      <x:c r="J195" t="s">
        <x:v>947</x:v>
      </x:c>
      <x:c r="K195" t="s">
        <x:v>1396</x:v>
      </x:c>
      <x:c r="L195" s="52">
        <x:v>7</x:v>
      </x:c>
      <x:c r="M195" s="52">
        <x:v>6</x:v>
      </x:c>
      <x:c r="N195" s="52">
        <x:v>6</x:v>
      </x:c>
      <x:c r="O195" s="52">
        <x:v>5</x:v>
      </x:c>
      <x:c r="P195" s="52">
        <x:v>0</x:v>
      </x:c>
      <x:c r="Q195" t="s">
        <x:v>1432</x:v>
      </x:c>
      <x:c r="R195" s="52">
        <x:v>2828</x:v>
      </x:c>
      <x:c r="T195" t="s">
        <x:v>857</x:v>
      </x:c>
      <x:c r="U195" t="s">
        <x:v>1399</x:v>
      </x:c>
    </x:row>
    <x:row r="196">
      <x:c r="A196" s="52">
        <x:v>2072</x:v>
      </x:c>
      <x:c r="B196" t="s">
        <x:v>295</x:v>
      </x:c>
      <x:c r="C196" t="s">
        <x:v>295</x:v>
      </x:c>
      <x:c r="D196" t="s">
        <x:v>292</x:v>
      </x:c>
      <x:c r="E196">
        <x:v>8</x:v>
      </x:c>
      <x:c r="F196" t="s">
        <x:v>324</x:v>
      </x:c>
      <x:c r="G196" s="52">
        <x:v>85</x:v>
      </x:c>
      <x:c r="H196" s="52">
        <x:v>2554</x:v>
      </x:c>
      <x:c r="I196" s="52">
        <x:v>53</x:v>
      </x:c>
      <x:c r="J196" t="s">
        <x:v>947</x:v>
      </x:c>
      <x:c r="K196" t="s">
        <x:v>1396</x:v>
      </x:c>
      <x:c r="L196" s="52">
        <x:v>7</x:v>
      </x:c>
      <x:c r="M196" s="52">
        <x:v>7</x:v>
      </x:c>
      <x:c r="N196" s="52">
        <x:v>7</x:v>
      </x:c>
      <x:c r="O196" s="52">
        <x:v>4</x:v>
      </x:c>
      <x:c r="P196" s="52">
        <x:v>0</x:v>
      </x:c>
      <x:c r="Q196" t="s">
        <x:v>1428</x:v>
      </x:c>
      <x:c r="R196" s="52">
        <x:v>3025</x:v>
      </x:c>
      <x:c r="T196" t="s">
        <x:v>857</x:v>
      </x:c>
      <x:c r="U196" t="s">
        <x:v>1399</x:v>
      </x:c>
    </x:row>
    <x:row r="197">
      <x:c r="A197" s="52">
        <x:v>2033</x:v>
      </x:c>
      <x:c r="B197" t="s">
        <x:v>417</x:v>
      </x:c>
      <x:c r="C197" t="s">
        <x:v>1826</x:v>
      </x:c>
      <x:c r="D197" t="s">
        <x:v>1824</x:v>
      </x:c>
      <x:c r="E197" t="s">
        <x:v>1827</x:v>
      </x:c>
      <x:c r="F197" t="s">
        <x:v>318</x:v>
      </x:c>
      <x:c r="G197" s="52">
        <x:v>75</x:v>
      </x:c>
      <x:c r="H197" s="52">
        <x:v>1420</x:v>
      </x:c>
      <x:c r="I197" s="52">
        <x:v>37</x:v>
      </x:c>
      <x:c r="J197" t="s">
        <x:v>1253</x:v>
      </x:c>
      <x:c r="K197" t="s">
        <x:v>1396</x:v>
      </x:c>
      <x:c r="L197" s="52">
        <x:v>7</x:v>
      </x:c>
      <x:c r="M197" s="52">
        <x:v>2</x:v>
      </x:c>
      <x:c r="N197" s="52">
        <x:v>3</x:v>
      </x:c>
      <x:c r="O197" s="52">
        <x:v>3</x:v>
      </x:c>
      <x:c r="P197" s="52">
        <x:v>0</x:v>
      </x:c>
      <x:c r="Q197" t="s">
        <x:v>1656</x:v>
      </x:c>
      <x:c r="R197" s="52">
        <x:v>2612</x:v>
      </x:c>
      <x:c r="T197" t="s">
        <x:v>1398</x:v>
      </x:c>
      <x:c r="U197" t="s">
        <x:v>1399</x:v>
      </x:c>
    </x:row>
    <x:row r="198">
      <x:c r="A198" s="52">
        <x:v>2034</x:v>
      </x:c>
      <x:c r="B198" t="s">
        <x:v>221</x:v>
      </x:c>
      <x:c r="C198" t="s">
        <x:v>1828</x:v>
      </x:c>
      <x:c r="D198" t="s">
        <x:v>1824</x:v>
      </x:c>
      <x:c r="E198" t="s">
        <x:v>1829</x:v>
      </x:c>
      <x:c r="F198" t="s">
        <x:v>318</x:v>
      </x:c>
      <x:c r="G198" s="52">
        <x:v>75</x:v>
      </x:c>
      <x:c r="H198" s="52">
        <x:v>1630</x:v>
      </x:c>
      <x:c r="I198" s="52">
        <x:v>40</x:v>
      </x:c>
      <x:c r="J198" t="s">
        <x:v>1253</x:v>
      </x:c>
      <x:c r="K198" t="s">
        <x:v>1396</x:v>
      </x:c>
      <x:c r="L198" s="52">
        <x:v>7</x:v>
      </x:c>
      <x:c r="M198" s="52">
        <x:v>4</x:v>
      </x:c>
      <x:c r="N198" s="52">
        <x:v>4</x:v>
      </x:c>
      <x:c r="O198" s="52">
        <x:v>3</x:v>
      </x:c>
      <x:c r="P198" s="52">
        <x:v>0</x:v>
      </x:c>
      <x:c r="Q198" t="s">
        <x:v>1656</x:v>
      </x:c>
      <x:c r="R198" s="52">
        <x:v>2760</x:v>
      </x:c>
      <x:c r="T198" t="s">
        <x:v>1398</x:v>
      </x:c>
      <x:c r="U198" t="s">
        <x:v>1399</x:v>
      </x:c>
    </x:row>
    <x:row r="199">
      <x:c r="A199" s="52">
        <x:v>2038</x:v>
      </x:c>
      <x:c r="B199" t="s">
        <x:v>389</x:v>
      </x:c>
      <x:c r="C199" t="s">
        <x:v>1830</x:v>
      </x:c>
      <x:c r="D199" t="s">
        <x:v>1824</x:v>
      </x:c>
      <x:c r="E199" t="s">
        <x:v>1831</x:v>
      </x:c>
      <x:c r="F199" t="s">
        <x:v>318</x:v>
      </x:c>
      <x:c r="G199" s="52">
        <x:v>75</x:v>
      </x:c>
      <x:c r="H199" s="52">
        <x:v>1363</x:v>
      </x:c>
      <x:c r="I199" s="52">
        <x:v>35</x:v>
      </x:c>
      <x:c r="J199" t="s">
        <x:v>1253</x:v>
      </x:c>
      <x:c r="K199" t="s">
        <x:v>1396</x:v>
      </x:c>
      <x:c r="L199" s="52">
        <x:v>6</x:v>
      </x:c>
      <x:c r="M199" s="52">
        <x:v>2</x:v>
      </x:c>
      <x:c r="N199" s="52">
        <x:v>3</x:v>
      </x:c>
      <x:c r="O199" s="52">
        <x:v>3</x:v>
      </x:c>
      <x:c r="P199" s="52">
        <x:v>0</x:v>
      </x:c>
      <x:c r="R199" s="52">
        <x:v>2819</x:v>
      </x:c>
      <x:c r="T199" t="s">
        <x:v>1398</x:v>
      </x:c>
      <x:c r="U199" t="s">
        <x:v>1399</x:v>
      </x:c>
    </x:row>
    <x:row r="200">
      <x:c r="A200" s="52">
        <x:v>7600</x:v>
      </x:c>
      <x:c r="B200" t="s">
        <x:v>397</x:v>
      </x:c>
      <x:c r="C200" t="s">
        <x:v>1832</x:v>
      </x:c>
      <x:c r="D200" t="s">
        <x:v>1824</x:v>
      </x:c>
      <x:c r="E200" t="s">
        <x:v>1833</x:v>
      </x:c>
      <x:c r="F200" t="s">
        <x:v>318</x:v>
      </x:c>
      <x:c r="G200" s="52">
        <x:v>75</x:v>
      </x:c>
      <x:c r="H200" s="52">
        <x:v>1648</x:v>
      </x:c>
      <x:c r="I200" s="52">
        <x:v>36</x:v>
      </x:c>
      <x:c r="J200" t="s">
        <x:v>1253</x:v>
      </x:c>
      <x:c r="K200" t="s">
        <x:v>1396</x:v>
      </x:c>
      <x:c r="L200" s="52">
        <x:v>7</x:v>
      </x:c>
      <x:c r="M200" s="52">
        <x:v>4</x:v>
      </x:c>
      <x:c r="N200" s="52">
        <x:v>4</x:v>
      </x:c>
      <x:c r="O200" s="52">
        <x:v>3</x:v>
      </x:c>
      <x:c r="P200" s="52">
        <x:v>0</x:v>
      </x:c>
      <x:c r="Q200" t="s">
        <x:v>1540</x:v>
      </x:c>
      <x:c r="R200" s="52">
        <x:v>3052</x:v>
      </x:c>
      <x:c r="T200" t="s">
        <x:v>1398</x:v>
      </x:c>
      <x:c r="U200" t="s">
        <x:v>1399</x:v>
      </x:c>
    </x:row>
    <x:row r="201">
      <x:c r="A201" s="52">
        <x:v>2041</x:v>
      </x:c>
      <x:c r="B201" t="s">
        <x:v>396</x:v>
      </x:c>
      <x:c r="C201" t="s">
        <x:v>1834</x:v>
      </x:c>
      <x:c r="D201" t="s">
        <x:v>1824</x:v>
      </x:c>
      <x:c r="E201" t="s">
        <x:v>1835</x:v>
      </x:c>
      <x:c r="F201" t="s">
        <x:v>318</x:v>
      </x:c>
      <x:c r="G201" s="52">
        <x:v>75</x:v>
      </x:c>
      <x:c r="H201" s="52">
        <x:v>1471</x:v>
      </x:c>
      <x:c r="I201" s="52">
        <x:v>33</x:v>
      </x:c>
      <x:c r="J201" t="s">
        <x:v>1001</x:v>
      </x:c>
      <x:c r="K201" t="s">
        <x:v>1500</x:v>
      </x:c>
      <x:c r="L201" s="52">
        <x:v>6</x:v>
      </x:c>
      <x:c r="M201" s="52">
        <x:v>4</x:v>
      </x:c>
      <x:c r="N201" s="52">
        <x:v>4</x:v>
      </x:c>
      <x:c r="O201" s="52">
        <x:v>1</x:v>
      </x:c>
      <x:c r="P201" s="52">
        <x:v>0</x:v>
      </x:c>
      <x:c r="Q201" t="s">
        <x:v>1463</x:v>
      </x:c>
      <x:c r="R201" s="52">
        <x:v>3051</x:v>
      </x:c>
      <x:c r="T201" t="s">
        <x:v>1398</x:v>
      </x:c>
      <x:c r="U201" t="s">
        <x:v>1399</x:v>
      </x:c>
    </x:row>
    <x:row r="202">
      <x:c r="A202" s="52">
        <x:v>2091</x:v>
      </x:c>
      <x:c r="B202" t="s">
        <x:v>257</x:v>
      </x:c>
      <x:c r="C202" t="s">
        <x:v>1836</x:v>
      </x:c>
      <x:c r="D202" t="s">
        <x:v>1837</x:v>
      </x:c>
      <x:c r="E202" t="s">
        <x:v>1469</x:v>
      </x:c>
      <x:c r="F202" t="s">
        <x:v>324</x:v>
      </x:c>
      <x:c r="G202" s="52">
        <x:v>85</x:v>
      </x:c>
      <x:c r="H202" s="52">
        <x:v>2399</x:v>
      </x:c>
      <x:c r="I202" s="52">
        <x:v>49</x:v>
      </x:c>
      <x:c r="J202" t="s">
        <x:v>1253</x:v>
      </x:c>
      <x:c r="K202" t="s">
        <x:v>1396</x:v>
      </x:c>
      <x:c r="L202" s="52">
        <x:v>9</x:v>
      </x:c>
      <x:c r="M202" s="52">
        <x:v>5</x:v>
      </x:c>
      <x:c r="N202" s="52">
        <x:v>5</x:v>
      </x:c>
      <x:c r="O202" s="52">
        <x:v>4</x:v>
      </x:c>
      <x:c r="P202" s="52">
        <x:v>0</x:v>
      </x:c>
      <x:c r="Q202" t="s">
        <x:v>1838</x:v>
      </x:c>
      <x:c r="R202" s="52">
        <x:v>2999</x:v>
      </x:c>
      <x:c r="T202" t="s">
        <x:v>857</x:v>
      </x:c>
      <x:c r="U202" t="s">
        <x:v>1399</x:v>
      </x:c>
    </x:row>
    <x:row r="203">
      <x:c r="A203" s="52">
        <x:v>2092</x:v>
      </x:c>
      <x:c r="B203" t="s">
        <x:v>264</x:v>
      </x:c>
      <x:c r="C203" t="s">
        <x:v>1839</x:v>
      </x:c>
      <x:c r="D203" t="s">
        <x:v>1837</x:v>
      </x:c>
      <x:c r="E203" t="s">
        <x:v>1441</x:v>
      </x:c>
      <x:c r="F203" t="s">
        <x:v>324</x:v>
      </x:c>
      <x:c r="G203" s="52">
        <x:v>85</x:v>
      </x:c>
      <x:c r="H203" s="52">
        <x:v>2320</x:v>
      </x:c>
      <x:c r="I203" s="52">
        <x:v>52</x:v>
      </x:c>
      <x:c r="J203" t="s">
        <x:v>947</x:v>
      </x:c>
      <x:c r="K203" t="s">
        <x:v>1396</x:v>
      </x:c>
      <x:c r="L203" s="52">
        <x:v>9</x:v>
      </x:c>
      <x:c r="M203" s="52">
        <x:v>6</x:v>
      </x:c>
      <x:c r="N203" s="52">
        <x:v>7</x:v>
      </x:c>
      <x:c r="O203" s="52">
        <x:v>2</x:v>
      </x:c>
      <x:c r="P203" s="52">
        <x:v>0</x:v>
      </x:c>
      <x:c r="Q203" t="s">
        <x:v>1840</x:v>
      </x:c>
      <x:c r="R203" s="52">
        <x:v>2999</x:v>
      </x:c>
      <x:c r="T203" t="s">
        <x:v>857</x:v>
      </x:c>
      <x:c r="U203" t="s">
        <x:v>1399</x:v>
      </x:c>
    </x:row>
    <x:row r="204">
      <x:c r="A204" s="52">
        <x:v>2093</x:v>
      </x:c>
      <x:c r="B204" t="s">
        <x:v>275</x:v>
      </x:c>
      <x:c r="C204" t="s">
        <x:v>1841</x:v>
      </x:c>
      <x:c r="D204" t="s">
        <x:v>1837</x:v>
      </x:c>
      <x:c r="E204" t="s">
        <x:v>1406</x:v>
      </x:c>
      <x:c r="F204" t="s">
        <x:v>324</x:v>
      </x:c>
      <x:c r="G204" s="52">
        <x:v>85</x:v>
      </x:c>
      <x:c r="H204" s="52">
        <x:v>2998</x:v>
      </x:c>
      <x:c r="I204" s="52">
        <x:v>53</x:v>
      </x:c>
      <x:c r="J204" t="s">
        <x:v>1253</x:v>
      </x:c>
      <x:c r="K204" t="s">
        <x:v>1396</x:v>
      </x:c>
      <x:c r="L204" s="52">
        <x:v>9</x:v>
      </x:c>
      <x:c r="M204" s="52">
        <x:v>6</x:v>
      </x:c>
      <x:c r="N204" s="52">
        <x:v>6</x:v>
      </x:c>
      <x:c r="O204" s="52">
        <x:v>6</x:v>
      </x:c>
      <x:c r="P204" s="52">
        <x:v>0</x:v>
      </x:c>
      <x:c r="Q204" t="s">
        <x:v>1443</x:v>
      </x:c>
      <x:c r="R204" s="52">
        <x:v>2999</x:v>
      </x:c>
      <x:c r="T204" t="s">
        <x:v>857</x:v>
      </x:c>
      <x:c r="U204" t="s">
        <x:v>1399</x:v>
      </x:c>
    </x:row>
    <x:row r="205">
      <x:c r="A205" s="52">
        <x:v>2094</x:v>
      </x:c>
      <x:c r="B205" t="s">
        <x:v>269</x:v>
      </x:c>
      <x:c r="C205" t="s">
        <x:v>1842</x:v>
      </x:c>
      <x:c r="D205" t="s">
        <x:v>1837</x:v>
      </x:c>
      <x:c r="E205" t="s">
        <x:v>1476</x:v>
      </x:c>
      <x:c r="F205" t="s">
        <x:v>324</x:v>
      </x:c>
      <x:c r="G205" s="52">
        <x:v>85</x:v>
      </x:c>
      <x:c r="H205" s="52">
        <x:v>2474</x:v>
      </x:c>
      <x:c r="I205" s="52">
        <x:v>53</x:v>
      </x:c>
      <x:c r="J205" t="s">
        <x:v>1253</x:v>
      </x:c>
      <x:c r="K205" t="s">
        <x:v>1396</x:v>
      </x:c>
      <x:c r="L205" s="52">
        <x:v>9</x:v>
      </x:c>
      <x:c r="M205" s="52">
        <x:v>7</x:v>
      </x:c>
      <x:c r="N205" s="52">
        <x:v>6</x:v>
      </x:c>
      <x:c r="O205" s="52">
        <x:v>5</x:v>
      </x:c>
      <x:c r="P205" s="52">
        <x:v>0</x:v>
      </x:c>
      <x:c r="Q205" t="s">
        <x:v>1473</x:v>
      </x:c>
      <x:c r="R205" s="52">
        <x:v>3054</x:v>
      </x:c>
      <x:c r="S205" t="s">
        <x:v>1677</x:v>
      </x:c>
      <x:c r="T205" t="s">
        <x:v>857</x:v>
      </x:c>
      <x:c r="U205" t="s">
        <x:v>1399</x:v>
      </x:c>
    </x:row>
    <x:row r="206">
      <x:c r="A206" s="52">
        <x:v>2097</x:v>
      </x:c>
      <x:c r="B206" t="s">
        <x:v>261</x:v>
      </x:c>
      <x:c r="C206" t="s">
        <x:v>1843</x:v>
      </x:c>
      <x:c r="D206" t="s">
        <x:v>1837</x:v>
      </x:c>
      <x:c r="E206" t="s">
        <x:v>1444</x:v>
      </x:c>
      <x:c r="F206" t="s">
        <x:v>324</x:v>
      </x:c>
      <x:c r="G206" s="52">
        <x:v>85</x:v>
      </x:c>
      <x:c r="H206" s="52">
        <x:v>3194</x:v>
      </x:c>
      <x:c r="I206" s="52">
        <x:v>52</x:v>
      </x:c>
      <x:c r="J206" t="s">
        <x:v>1253</x:v>
      </x:c>
      <x:c r="K206" t="s">
        <x:v>1396</x:v>
      </x:c>
      <x:c r="L206" s="52">
        <x:v>9</x:v>
      </x:c>
      <x:c r="M206" s="52">
        <x:v>5</x:v>
      </x:c>
      <x:c r="N206" s="52">
        <x:v>5</x:v>
      </x:c>
      <x:c r="O206" s="52">
        <x:v>5</x:v>
      </x:c>
      <x:c r="P206" s="52">
        <x:v>0</x:v>
      </x:c>
      <x:c r="Q206" t="s">
        <x:v>1587</x:v>
      </x:c>
      <x:c r="R206" s="52">
        <x:v>2999</x:v>
      </x:c>
      <x:c r="T206" t="s">
        <x:v>857</x:v>
      </x:c>
      <x:c r="U206" t="s">
        <x:v>1399</x:v>
      </x:c>
    </x:row>
    <x:row r="207">
      <x:c r="A207" s="52">
        <x:v>2098</x:v>
      </x:c>
      <x:c r="B207" t="s">
        <x:v>219</x:v>
      </x:c>
      <x:c r="C207" t="s">
        <x:v>1844</x:v>
      </x:c>
      <x:c r="D207" t="s">
        <x:v>219</x:v>
      </x:c>
      <x:c r="E207" t="s">
        <x:v>1435</x:v>
      </x:c>
      <x:c r="F207" t="s">
        <x:v>318</x:v>
      </x:c>
      <x:c r="G207" s="52">
        <x:v>60</x:v>
      </x:c>
      <x:c r="H207" s="52">
        <x:v>2006</x:v>
      </x:c>
      <x:c r="I207" s="52">
        <x:v>39</x:v>
      </x:c>
      <x:c r="J207" t="s">
        <x:v>928</x:v>
      </x:c>
      <x:c r="K207" t="s">
        <x:v>1500</x:v>
      </x:c>
      <x:c r="L207" s="52">
        <x:v>6</x:v>
      </x:c>
      <x:c r="M207" s="52">
        <x:v>6</x:v>
      </x:c>
      <x:c r="N207" s="52">
        <x:v>5</x:v>
      </x:c>
      <x:c r="O207" s="52">
        <x:v>0</x:v>
      </x:c>
      <x:c r="P207" s="52">
        <x:v>0</x:v>
      </x:c>
      <x:c r="Q207" t="s">
        <x:v>1656</x:v>
      </x:c>
      <x:c r="R207" s="52">
        <x:v>2846</x:v>
      </x:c>
      <x:c r="T207" t="s">
        <x:v>857</x:v>
      </x:c>
      <x:c r="U207" t="s">
        <x:v>1399</x:v>
      </x:c>
    </x:row>
    <x:row r="208">
      <x:c r="A208" s="52">
        <x:v>2171</x:v>
      </x:c>
      <x:c r="B208" t="s">
        <x:v>339</x:v>
      </x:c>
      <x:c r="C208" t="s">
        <x:v>1845</x:v>
      </x:c>
      <x:c r="D208" t="s">
        <x:v>1846</x:v>
      </x:c>
      <x:c r="E208" t="s">
        <x:v>1847</x:v>
      </x:c>
      <x:c r="F208" t="s">
        <x:v>317</x:v>
      </x:c>
      <x:c r="G208" s="52">
        <x:v>20</x:v>
      </x:c>
      <x:c r="H208" s="52">
        <x:v>466</x:v>
      </x:c>
      <x:c r="I208" s="52">
        <x:v>24</x:v>
      </x:c>
      <x:c r="J208" t="s">
        <x:v>1411</x:v>
      </x:c>
      <x:c r="K208" t="s">
        <x:v>1848</x:v>
      </x:c>
      <x:c r="L208" s="52">
        <x:v>2</x:v>
      </x:c>
      <x:c r="M208" s="52">
        <x:v>1</x:v>
      </x:c>
      <x:c r="N208" s="52">
        <x:v>1</x:v>
      </x:c>
      <x:c r="O208" s="52">
        <x:v>0</x:v>
      </x:c>
      <x:c r="P208" s="52">
        <x:v>0</x:v>
      </x:c>
      <x:c r="Q208" t="s">
        <x:v>1485</x:v>
      </x:c>
      <x:c r="R208" s="52">
        <x:v>3049</x:v>
      </x:c>
      <x:c r="T208" t="s">
        <x:v>1398</x:v>
      </x:c>
      <x:c r="U208" t="s">
        <x:v>1399</x:v>
      </x:c>
    </x:row>
    <x:row r="209">
      <x:c r="A209" s="52">
        <x:v>2172</x:v>
      </x:c>
      <x:c r="B209" t="s">
        <x:v>348</x:v>
      </x:c>
      <x:c r="C209" t="s">
        <x:v>1849</x:v>
      </x:c>
      <x:c r="D209" t="s">
        <x:v>1846</x:v>
      </x:c>
      <x:c r="E209" t="s">
        <x:v>1850</x:v>
      </x:c>
      <x:c r="F209" t="s">
        <x:v>317</x:v>
      </x:c>
      <x:c r="G209" s="52">
        <x:v>20</x:v>
      </x:c>
      <x:c r="H209" s="52">
        <x:v>586</x:v>
      </x:c>
      <x:c r="I209" s="52">
        <x:v>22</x:v>
      </x:c>
      <x:c r="J209" t="s">
        <x:v>1411</x:v>
      </x:c>
      <x:c r="K209" t="s">
        <x:v>1848</x:v>
      </x:c>
      <x:c r="L209" s="52">
        <x:v>2</x:v>
      </x:c>
      <x:c r="M209" s="52">
        <x:v>2</x:v>
      </x:c>
      <x:c r="N209" s="52">
        <x:v>1</x:v>
      </x:c>
      <x:c r="O209" s="52">
        <x:v>0</x:v>
      </x:c>
      <x:c r="P209" s="52">
        <x:v>0</x:v>
      </x:c>
      <x:c r="Q209" t="s">
        <x:v>1432</x:v>
      </x:c>
      <x:c r="R209" s="52">
        <x:v>2742</x:v>
      </x:c>
      <x:c r="T209" t="s">
        <x:v>1398</x:v>
      </x:c>
      <x:c r="U209" t="s">
        <x:v>1399</x:v>
      </x:c>
    </x:row>
    <x:row r="210">
      <x:c r="A210" s="52">
        <x:v>2208</x:v>
      </x:c>
      <x:c r="B210" t="s">
        <x:v>76</x:v>
      </x:c>
      <x:c r="C210" t="s">
        <x:v>1851</x:v>
      </x:c>
      <x:c r="D210" t="s">
        <x:v>1852</x:v>
      </x:c>
      <x:c r="E210" t="s">
        <x:v>1853</x:v>
      </x:c>
      <x:c r="F210" t="s">
        <x:v>317</x:v>
      </x:c>
      <x:c r="G210" s="52">
        <x:v>25</x:v>
      </x:c>
      <x:c r="H210" s="52">
        <x:v>758</x:v>
      </x:c>
      <x:c r="I210" s="52">
        <x:v>30</x:v>
      </x:c>
      <x:c r="J210" t="s">
        <x:v>1411</x:v>
      </x:c>
      <x:c r="K210" t="s">
        <x:v>1549</x:v>
      </x:c>
      <x:c r="L210" s="52">
        <x:v>3</x:v>
      </x:c>
      <x:c r="M210" s="52">
        <x:v>2</x:v>
      </x:c>
      <x:c r="N210" s="52">
        <x:v>2</x:v>
      </x:c>
      <x:c r="O210" s="52">
        <x:v>0</x:v>
      </x:c>
      <x:c r="P210" s="52">
        <x:v>0</x:v>
      </x:c>
      <x:c r="Q210" t="s">
        <x:v>1485</x:v>
      </x:c>
      <x:c r="R210" s="52">
        <x:v>2660</x:v>
      </x:c>
      <x:c r="T210" t="s">
        <x:v>1398</x:v>
      </x:c>
      <x:c r="U210" t="s">
        <x:v>1399</x:v>
      </x:c>
    </x:row>
    <x:row r="211">
      <x:c r="A211" s="52">
        <x:v>2247</x:v>
      </x:c>
      <x:c r="B211" t="s">
        <x:v>272</x:v>
      </x:c>
      <x:c r="C211" t="s">
        <x:v>272</x:v>
      </x:c>
      <x:c r="D211" t="s">
        <x:v>1854</x:v>
      </x:c>
      <x:c r="E211" t="s">
        <x:v>1469</x:v>
      </x:c>
      <x:c r="F211" t="s">
        <x:v>324</x:v>
      </x:c>
      <x:c r="G211" s="52">
        <x:v>80</x:v>
      </x:c>
      <x:c r="H211" s="52">
        <x:v>1988</x:v>
      </x:c>
      <x:c r="I211" s="52">
        <x:v>52</x:v>
      </x:c>
      <x:c r="J211" t="s">
        <x:v>975</x:v>
      </x:c>
      <x:c r="K211" t="s">
        <x:v>1507</x:v>
      </x:c>
      <x:c r="L211" s="52">
        <x:v>5</x:v>
      </x:c>
      <x:c r="M211" s="52">
        <x:v>2</x:v>
      </x:c>
      <x:c r="N211" s="52">
        <x:v>2</x:v>
      </x:c>
      <x:c r="O211" s="52">
        <x:v>0</x:v>
      </x:c>
      <x:c r="P211" s="52">
        <x:v>0</x:v>
      </x:c>
      <x:c r="Q211" t="s">
        <x:v>1855</x:v>
      </x:c>
      <x:c r="R211" s="52">
        <x:v>2945</x:v>
      </x:c>
      <x:c r="T211" t="s">
        <x:v>857</x:v>
      </x:c>
      <x:c r="U211" t="s">
        <x:v>1399</x:v>
      </x:c>
    </x:row>
    <x:row r="212">
      <x:c r="A212" s="52">
        <x:v>2251</x:v>
      </x:c>
      <x:c r="B212" t="s">
        <x:v>278</x:v>
      </x:c>
      <x:c r="C212" t="s">
        <x:v>278</x:v>
      </x:c>
      <x:c r="D212" t="s">
        <x:v>1854</x:v>
      </x:c>
      <x:c r="E212" t="s">
        <x:v>1444</x:v>
      </x:c>
      <x:c r="F212" t="s">
        <x:v>324</x:v>
      </x:c>
      <x:c r="G212" s="52">
        <x:v>80</x:v>
      </x:c>
      <x:c r="H212" s="52">
        <x:v>1840</x:v>
      </x:c>
      <x:c r="I212" s="52">
        <x:v>52</x:v>
      </x:c>
      <x:c r="J212" t="s">
        <x:v>975</x:v>
      </x:c>
      <x:c r="K212" t="s">
        <x:v>1507</x:v>
      </x:c>
      <x:c r="L212" s="52">
        <x:v>5</x:v>
      </x:c>
      <x:c r="M212" s="52">
        <x:v>2</x:v>
      </x:c>
      <x:c r="N212" s="52">
        <x:v>2</x:v>
      </x:c>
      <x:c r="O212" s="52">
        <x:v>0</x:v>
      </x:c>
      <x:c r="P212" s="52">
        <x:v>0</x:v>
      </x:c>
      <x:c r="Q212" t="s">
        <x:v>1855</x:v>
      </x:c>
      <x:c r="R212" s="52">
        <x:v>2945</x:v>
      </x:c>
      <x:c r="T212" t="s">
        <x:v>857</x:v>
      </x:c>
      <x:c r="U212" t="s">
        <x:v>1399</x:v>
      </x:c>
    </x:row>
    <x:row r="213">
      <x:c r="A213" s="52">
        <x:v>2263</x:v>
      </x:c>
      <x:c r="B213" t="s">
        <x:v>213</x:v>
      </x:c>
      <x:c r="C213" t="s">
        <x:v>213</x:v>
      </x:c>
      <x:c r="D213" t="s">
        <x:v>1856</x:v>
      </x:c>
      <x:c r="E213" t="s">
        <x:v>1469</x:v>
      </x:c>
      <x:c r="F213" t="s">
        <x:v>318</x:v>
      </x:c>
      <x:c r="G213" s="52">
        <x:v>75</x:v>
      </x:c>
      <x:c r="H213" s="52">
        <x:v>2680</x:v>
      </x:c>
      <x:c r="I213" s="52">
        <x:v>45</x:v>
      </x:c>
      <x:c r="J213" t="s">
        <x:v>1001</x:v>
      </x:c>
      <x:c r="K213" t="s">
        <x:v>1500</x:v>
      </x:c>
      <x:c r="L213" s="52">
        <x:v>7</x:v>
      </x:c>
      <x:c r="M213" s="52">
        <x:v>6</x:v>
      </x:c>
      <x:c r="N213" s="52">
        <x:v>6</x:v>
      </x:c>
      <x:c r="O213" s="52">
        <x:v>2</x:v>
      </x:c>
      <x:c r="P213" s="52">
        <x:v>0</x:v>
      </x:c>
      <x:c r="Q213" t="s">
        <x:v>1473</x:v>
      </x:c>
      <x:c r="R213" s="52">
        <x:v>3052</x:v>
      </x:c>
      <x:c r="T213" t="s">
        <x:v>857</x:v>
      </x:c>
      <x:c r="U213" t="s">
        <x:v>1399</x:v>
      </x:c>
    </x:row>
    <x:row r="214">
      <x:c r="A214" s="52">
        <x:v>2264</x:v>
      </x:c>
      <x:c r="B214" t="s">
        <x:v>208</x:v>
      </x:c>
      <x:c r="C214" t="s">
        <x:v>208</x:v>
      </x:c>
      <x:c r="D214" t="s">
        <x:v>1856</x:v>
      </x:c>
      <x:c r="E214" t="s">
        <x:v>1441</x:v>
      </x:c>
      <x:c r="F214" t="s">
        <x:v>318</x:v>
      </x:c>
      <x:c r="G214" s="52">
        <x:v>75</x:v>
      </x:c>
      <x:c r="H214" s="52">
        <x:v>2140</x:v>
      </x:c>
      <x:c r="I214" s="52">
        <x:v>38</x:v>
      </x:c>
      <x:c r="J214" t="s">
        <x:v>1253</x:v>
      </x:c>
      <x:c r="K214" t="s">
        <x:v>1500</x:v>
      </x:c>
      <x:c r="L214" s="52">
        <x:v>7</x:v>
      </x:c>
      <x:c r="M214" s="52">
        <x:v>3</x:v>
      </x:c>
      <x:c r="N214" s="52">
        <x:v>4</x:v>
      </x:c>
      <x:c r="O214" s="52">
        <x:v>4</x:v>
      </x:c>
      <x:c r="P214" s="52">
        <x:v>0</x:v>
      </x:c>
      <x:c r="Q214" t="s">
        <x:v>1796</x:v>
      </x:c>
      <x:c r="R214" s="52">
        <x:v>3052</x:v>
      </x:c>
      <x:c r="T214" t="s">
        <x:v>857</x:v>
      </x:c>
      <x:c r="U214" t="s">
        <x:v>1399</x:v>
      </x:c>
    </x:row>
    <x:row r="215">
      <x:c r="A215" s="52">
        <x:v>2265</x:v>
      </x:c>
      <x:c r="B215" t="s">
        <x:v>188</x:v>
      </x:c>
      <x:c r="C215" t="s">
        <x:v>188</x:v>
      </x:c>
      <x:c r="D215" t="s">
        <x:v>1856</x:v>
      </x:c>
      <x:c r="E215" t="s">
        <x:v>1406</x:v>
      </x:c>
      <x:c r="F215" t="s">
        <x:v>318</x:v>
      </x:c>
      <x:c r="G215" s="52">
        <x:v>75</x:v>
      </x:c>
      <x:c r="H215" s="52">
        <x:v>2468</x:v>
      </x:c>
      <x:c r="I215" s="52">
        <x:v>43</x:v>
      </x:c>
      <x:c r="J215" t="s">
        <x:v>1001</x:v>
      </x:c>
      <x:c r="K215" t="s">
        <x:v>1500</x:v>
      </x:c>
      <x:c r="L215" s="52">
        <x:v>7</x:v>
      </x:c>
      <x:c r="M215" s="52">
        <x:v>5</x:v>
      </x:c>
      <x:c r="N215" s="52">
        <x:v>5</x:v>
      </x:c>
      <x:c r="O215" s="52">
        <x:v>4</x:v>
      </x:c>
      <x:c r="P215" s="52">
        <x:v>0</x:v>
      </x:c>
      <x:c r="Q215" t="s">
        <x:v>1473</x:v>
      </x:c>
      <x:c r="R215" s="52">
        <x:v>3052</x:v>
      </x:c>
      <x:c r="T215" t="s">
        <x:v>857</x:v>
      </x:c>
      <x:c r="U215" t="s">
        <x:v>1399</x:v>
      </x:c>
    </x:row>
    <x:row r="216">
      <x:c r="A216" s="52">
        <x:v>2266</x:v>
      </x:c>
      <x:c r="B216" t="s">
        <x:v>201</x:v>
      </x:c>
      <x:c r="C216" t="s">
        <x:v>201</x:v>
      </x:c>
      <x:c r="D216" t="s">
        <x:v>1856</x:v>
      </x:c>
      <x:c r="E216" t="s">
        <x:v>1476</x:v>
      </x:c>
      <x:c r="F216" t="s">
        <x:v>318</x:v>
      </x:c>
      <x:c r="G216" s="52">
        <x:v>75</x:v>
      </x:c>
      <x:c r="H216" s="52">
        <x:v>2889</x:v>
      </x:c>
      <x:c r="I216" s="52">
        <x:v>47</x:v>
      </x:c>
      <x:c r="J216" t="s">
        <x:v>975</x:v>
      </x:c>
      <x:c r="K216" t="s">
        <x:v>1500</x:v>
      </x:c>
      <x:c r="L216" s="52">
        <x:v>7</x:v>
      </x:c>
      <x:c r="M216" s="52">
        <x:v>5</x:v>
      </x:c>
      <x:c r="N216" s="52">
        <x:v>5</x:v>
      </x:c>
      <x:c r="O216" s="52">
        <x:v>4</x:v>
      </x:c>
      <x:c r="P216" s="52">
        <x:v>0</x:v>
      </x:c>
      <x:c r="Q216" t="s">
        <x:v>1857</x:v>
      </x:c>
      <x:c r="R216" s="52">
        <x:v>3052</x:v>
      </x:c>
      <x:c r="T216" t="s">
        <x:v>857</x:v>
      </x:c>
      <x:c r="U216" t="s">
        <x:v>1399</x:v>
      </x:c>
    </x:row>
    <x:row r="217">
      <x:c r="A217" s="52">
        <x:v>2270</x:v>
      </x:c>
      <x:c r="B217" t="s">
        <x:v>193</x:v>
      </x:c>
      <x:c r="C217" t="s">
        <x:v>193</x:v>
      </x:c>
      <x:c r="D217" t="s">
        <x:v>1856</x:v>
      </x:c>
      <x:c r="E217" t="s">
        <x:v>1444</x:v>
      </x:c>
      <x:c r="F217" t="s">
        <x:v>318</x:v>
      </x:c>
      <x:c r="G217" s="52">
        <x:v>75</x:v>
      </x:c>
      <x:c r="H217" s="52">
        <x:v>2830</x:v>
      </x:c>
      <x:c r="I217" s="52">
        <x:v>47</x:v>
      </x:c>
      <x:c r="J217" t="s">
        <x:v>1001</x:v>
      </x:c>
      <x:c r="K217" t="s">
        <x:v>1500</x:v>
      </x:c>
      <x:c r="L217" s="52">
        <x:v>7</x:v>
      </x:c>
      <x:c r="M217" s="52">
        <x:v>6</x:v>
      </x:c>
      <x:c r="N217" s="52">
        <x:v>6</x:v>
      </x:c>
      <x:c r="O217" s="52">
        <x:v>5</x:v>
      </x:c>
      <x:c r="P217" s="52">
        <x:v>0</x:v>
      </x:c>
      <x:c r="Q217" t="s">
        <x:v>1473</x:v>
      </x:c>
      <x:c r="R217" s="52">
        <x:v>3052</x:v>
      </x:c>
      <x:c r="T217" t="s">
        <x:v>857</x:v>
      </x:c>
      <x:c r="U217" t="s">
        <x:v>1399</x:v>
      </x:c>
    </x:row>
    <x:row r="218">
      <x:c r="A218" s="52">
        <x:v>2271</x:v>
      </x:c>
      <x:c r="B218" t="s">
        <x:v>64</x:v>
      </x:c>
      <x:c r="C218" t="s">
        <x:v>1858</x:v>
      </x:c>
      <x:c r="D218" t="s">
        <x:v>1859</x:v>
      </x:c>
      <x:c r="E218" t="s">
        <x:v>1860</x:v>
      </x:c>
      <x:c r="F218" t="s">
        <x:v>317</x:v>
      </x:c>
      <x:c r="G218" s="52">
        <x:v>35</x:v>
      </x:c>
      <x:c r="H218" s="52">
        <x:v>997</x:v>
      </x:c>
      <x:c r="I218" s="52">
        <x:v>27</x:v>
      </x:c>
      <x:c r="J218" t="s">
        <x:v>334</x:v>
      </x:c>
      <x:c r="K218" t="s">
        <x:v>1442</x:v>
      </x:c>
      <x:c r="L218" s="52">
        <x:v>4</x:v>
      </x:c>
      <x:c r="M218" s="52">
        <x:v>3</x:v>
      </x:c>
      <x:c r="N218" s="52">
        <x:v>3</x:v>
      </x:c>
      <x:c r="O218" s="52">
        <x:v>1</x:v>
      </x:c>
      <x:c r="P218" s="52">
        <x:v>0</x:v>
      </x:c>
      <x:c r="Q218" t="s">
        <x:v>1432</x:v>
      </x:c>
      <x:c r="R218" s="52">
        <x:v>2656</x:v>
      </x:c>
      <x:c r="T218" t="s">
        <x:v>1398</x:v>
      </x:c>
      <x:c r="U218" t="s">
        <x:v>1399</x:v>
      </x:c>
    </x:row>
    <x:row r="219">
      <x:c r="A219" s="52">
        <x:v>2286</x:v>
      </x:c>
      <x:c r="B219" t="s">
        <x:v>442</x:v>
      </x:c>
      <x:c r="C219" t="s">
        <x:v>1861</x:v>
      </x:c>
      <x:c r="D219" t="s">
        <x:v>1862</x:v>
      </x:c>
      <x:c r="E219" t="s">
        <x:v>1863</x:v>
      </x:c>
      <x:c r="F219" t="s">
        <x:v>324</x:v>
      </x:c>
      <x:c r="G219" s="52">
        <x:v>95</x:v>
      </x:c>
      <x:c r="H219" s="52">
        <x:v>2399</x:v>
      </x:c>
      <x:c r="I219" s="52">
        <x:v>51</x:v>
      </x:c>
      <x:c r="J219" t="s">
        <x:v>928</x:v>
      </x:c>
      <x:c r="K219" t="s">
        <x:v>1419</x:v>
      </x:c>
      <x:c r="L219" s="52">
        <x:v>10</x:v>
      </x:c>
      <x:c r="M219" s="52">
        <x:v>6</x:v>
      </x:c>
      <x:c r="N219" s="52">
        <x:v>6</x:v>
      </x:c>
      <x:c r="O219" s="52">
        <x:v>4</x:v>
      </x:c>
      <x:c r="P219" s="52">
        <x:v>0</x:v>
      </x:c>
      <x:c r="R219" s="52">
        <x:v>2767</x:v>
      </x:c>
      <x:c r="T219" t="s">
        <x:v>1398</x:v>
      </x:c>
      <x:c r="U219" t="s">
        <x:v>1399</x:v>
      </x:c>
    </x:row>
    <x:row r="220">
      <x:c r="A220" s="52">
        <x:v>2289</x:v>
      </x:c>
      <x:c r="B220" t="s">
        <x:v>118</x:v>
      </x:c>
      <x:c r="C220" t="s">
        <x:v>1864</x:v>
      </x:c>
      <x:c r="D220" t="s">
        <x:v>1865</x:v>
      </x:c>
      <x:c r="E220" t="s">
        <x:v>1469</x:v>
      </x:c>
      <x:c r="F220" t="s">
        <x:v>319</x:v>
      </x:c>
      <x:c r="G220" s="52">
        <x:v>50</x:v>
      </x:c>
      <x:c r="H220" s="52">
        <x:v>2034</x:v>
      </x:c>
      <x:c r="I220" s="52">
        <x:v>37</x:v>
      </x:c>
      <x:c r="J220" t="s">
        <x:v>1253</x:v>
      </x:c>
      <x:c r="K220" t="s">
        <x:v>1470</x:v>
      </x:c>
      <x:c r="L220" s="52">
        <x:v>6</x:v>
      </x:c>
      <x:c r="M220" s="52">
        <x:v>3</x:v>
      </x:c>
      <x:c r="N220" s="52">
        <x:v>3</x:v>
      </x:c>
      <x:c r="O220" s="52">
        <x:v>3</x:v>
      </x:c>
      <x:c r="P220" s="52">
        <x:v>0</x:v>
      </x:c>
      <x:c r="Q220" t="s">
        <x:v>1532</x:v>
      </x:c>
      <x:c r="R220" s="52">
        <x:v>3049</x:v>
      </x:c>
      <x:c r="T220" t="s">
        <x:v>857</x:v>
      </x:c>
      <x:c r="U220" t="s">
        <x:v>1399</x:v>
      </x:c>
    </x:row>
    <x:row r="221">
      <x:c r="A221" s="52">
        <x:v>2290</x:v>
      </x:c>
      <x:c r="B221" t="s">
        <x:v>91</x:v>
      </x:c>
      <x:c r="C221" t="s">
        <x:v>1866</x:v>
      </x:c>
      <x:c r="D221" t="s">
        <x:v>1865</x:v>
      </x:c>
      <x:c r="E221" t="s">
        <x:v>1441</x:v>
      </x:c>
      <x:c r="F221" t="s">
        <x:v>319</x:v>
      </x:c>
      <x:c r="G221" s="52">
        <x:v>50</x:v>
      </x:c>
      <x:c r="H221" s="52">
        <x:v>2156</x:v>
      </x:c>
      <x:c r="I221" s="52">
        <x:v>38</x:v>
      </x:c>
      <x:c r="J221" t="s">
        <x:v>1001</x:v>
      </x:c>
      <x:c r="K221" t="s">
        <x:v>1470</x:v>
      </x:c>
      <x:c r="L221" s="52">
        <x:v>6</x:v>
      </x:c>
      <x:c r="M221" s="52">
        <x:v>4</x:v>
      </x:c>
      <x:c r="N221" s="52">
        <x:v>3</x:v>
      </x:c>
      <x:c r="O221" s="52">
        <x:v>3</x:v>
      </x:c>
      <x:c r="P221" s="52">
        <x:v>0</x:v>
      </x:c>
      <x:c r="Q221" t="s">
        <x:v>1757</x:v>
      </x:c>
      <x:c r="R221" s="52">
        <x:v>3049</x:v>
      </x:c>
      <x:c r="T221" t="s">
        <x:v>857</x:v>
      </x:c>
      <x:c r="U221" t="s">
        <x:v>1399</x:v>
      </x:c>
    </x:row>
    <x:row r="222">
      <x:c r="A222" s="52">
        <x:v>2291</x:v>
      </x:c>
      <x:c r="B222" t="s">
        <x:v>111</x:v>
      </x:c>
      <x:c r="C222" t="s">
        <x:v>1867</x:v>
      </x:c>
      <x:c r="D222" t="s">
        <x:v>1865</x:v>
      </x:c>
      <x:c r="E222" t="s">
        <x:v>1406</x:v>
      </x:c>
      <x:c r="F222" t="s">
        <x:v>319</x:v>
      </x:c>
      <x:c r="G222" s="52">
        <x:v>50</x:v>
      </x:c>
      <x:c r="H222" s="52">
        <x:v>2199</x:v>
      </x:c>
      <x:c r="I222" s="52">
        <x:v>43</x:v>
      </x:c>
      <x:c r="J222" t="s">
        <x:v>975</x:v>
      </x:c>
      <x:c r="K222" t="s">
        <x:v>1470</x:v>
      </x:c>
      <x:c r="L222" s="52">
        <x:v>6</x:v>
      </x:c>
      <x:c r="M222" s="52">
        <x:v>4</x:v>
      </x:c>
      <x:c r="N222" s="52">
        <x:v>4</x:v>
      </x:c>
      <x:c r="O222" s="52">
        <x:v>3</x:v>
      </x:c>
      <x:c r="P222" s="52">
        <x:v>0</x:v>
      </x:c>
      <x:c r="Q222" t="s">
        <x:v>1868</x:v>
      </x:c>
      <x:c r="R222" s="52">
        <x:v>3049</x:v>
      </x:c>
      <x:c r="T222" t="s">
        <x:v>857</x:v>
      </x:c>
      <x:c r="U222" t="s">
        <x:v>1399</x:v>
      </x:c>
    </x:row>
    <x:row r="223">
      <x:c r="A223" s="52">
        <x:v>2296</x:v>
      </x:c>
      <x:c r="B223" t="s">
        <x:v>101</x:v>
      </x:c>
      <x:c r="C223" t="s">
        <x:v>1869</x:v>
      </x:c>
      <x:c r="D223" t="s">
        <x:v>1865</x:v>
      </x:c>
      <x:c r="E223" t="s">
        <x:v>1444</x:v>
      </x:c>
      <x:c r="F223" t="s">
        <x:v>319</x:v>
      </x:c>
      <x:c r="G223" s="52">
        <x:v>50</x:v>
      </x:c>
      <x:c r="H223" s="52">
        <x:v>2108</x:v>
      </x:c>
      <x:c r="I223" s="52">
        <x:v>42</x:v>
      </x:c>
      <x:c r="J223" t="s">
        <x:v>1001</x:v>
      </x:c>
      <x:c r="K223" t="s">
        <x:v>1470</x:v>
      </x:c>
      <x:c r="L223" s="52">
        <x:v>6</x:v>
      </x:c>
      <x:c r="M223" s="52">
        <x:v>3</x:v>
      </x:c>
      <x:c r="N223" s="52">
        <x:v>3</x:v>
      </x:c>
      <x:c r="O223" s="52">
        <x:v>2</x:v>
      </x:c>
      <x:c r="P223" s="52">
        <x:v>0</x:v>
      </x:c>
      <x:c r="Q223" t="s">
        <x:v>1870</x:v>
      </x:c>
      <x:c r="R223" s="52">
        <x:v>3049</x:v>
      </x:c>
      <x:c r="T223" t="s">
        <x:v>857</x:v>
      </x:c>
      <x:c r="U223" t="s">
        <x:v>1399</x:v>
      </x:c>
    </x:row>
    <x:row r="224">
      <x:c r="A224" s="52">
        <x:v>2332</x:v>
      </x:c>
      <x:c r="B224" t="s">
        <x:v>392</x:v>
      </x:c>
      <x:c r="C224" t="s">
        <x:v>1871</x:v>
      </x:c>
      <x:c r="D224" t="s">
        <x:v>1872</x:v>
      </x:c>
      <x:c r="E224" t="s">
        <x:v>1873</x:v>
      </x:c>
      <x:c r="F224" t="s">
        <x:v>318</x:v>
      </x:c>
      <x:c r="G224" s="52">
        <x:v>75</x:v>
      </x:c>
      <x:c r="H224" s="52">
        <x:v>1429</x:v>
      </x:c>
      <x:c r="I224" s="52">
        <x:v>39</x:v>
      </x:c>
      <x:c r="J224" t="s">
        <x:v>947</x:v>
      </x:c>
      <x:c r="K224" t="s">
        <x:v>1396</x:v>
      </x:c>
      <x:c r="L224" s="52">
        <x:v>8</x:v>
      </x:c>
      <x:c r="M224" s="52">
        <x:v>3</x:v>
      </x:c>
      <x:c r="N224" s="52">
        <x:v>3</x:v>
      </x:c>
      <x:c r="O224" s="52">
        <x:v>1</x:v>
      </x:c>
      <x:c r="P224" s="52">
        <x:v>0</x:v>
      </x:c>
      <x:c r="Q224" t="s">
        <x:v>1575</x:v>
      </x:c>
      <x:c r="R224" s="52">
        <x:v>2525</x:v>
      </x:c>
      <x:c r="T224" t="s">
        <x:v>1398</x:v>
      </x:c>
      <x:c r="U224" t="s">
        <x:v>1399</x:v>
      </x:c>
    </x:row>
    <x:row r="225">
      <x:c r="A225" s="52">
        <x:v>2334</x:v>
      </x:c>
      <x:c r="B225" t="s">
        <x:v>409</x:v>
      </x:c>
      <x:c r="C225" t="s">
        <x:v>1874</x:v>
      </x:c>
      <x:c r="D225" t="s">
        <x:v>1872</x:v>
      </x:c>
      <x:c r="E225" t="s">
        <x:v>1875</x:v>
      </x:c>
      <x:c r="F225" t="s">
        <x:v>318</x:v>
      </x:c>
      <x:c r="G225" s="52">
        <x:v>75</x:v>
      </x:c>
      <x:c r="H225" s="52">
        <x:v>1414</x:v>
      </x:c>
      <x:c r="I225" s="52">
        <x:v>36</x:v>
      </x:c>
      <x:c r="J225" t="s">
        <x:v>947</x:v>
      </x:c>
      <x:c r="K225" t="s">
        <x:v>1396</x:v>
      </x:c>
      <x:c r="L225" s="52">
        <x:v>7</x:v>
      </x:c>
      <x:c r="M225" s="52">
        <x:v>3</x:v>
      </x:c>
      <x:c r="N225" s="52">
        <x:v>4</x:v>
      </x:c>
      <x:c r="O225" s="52">
        <x:v>2</x:v>
      </x:c>
      <x:c r="P225" s="52">
        <x:v>0</x:v>
      </x:c>
      <x:c r="Q225" t="s">
        <x:v>1876</x:v>
      </x:c>
      <x:c r="R225" s="52">
        <x:v>3049</x:v>
      </x:c>
      <x:c r="T225" t="s">
        <x:v>1398</x:v>
      </x:c>
      <x:c r="U225" t="s">
        <x:v>1399</x:v>
      </x:c>
    </x:row>
    <x:row r="226">
      <x:c r="A226" s="52">
        <x:v>2348</x:v>
      </x:c>
      <x:c r="B226" t="s">
        <x:v>391</x:v>
      </x:c>
      <x:c r="C226" t="s">
        <x:v>1877</x:v>
      </x:c>
      <x:c r="D226" t="s">
        <x:v>1878</x:v>
      </x:c>
      <x:c r="E226" t="s">
        <x:v>1879</x:v>
      </x:c>
      <x:c r="F226" t="s">
        <x:v>318</x:v>
      </x:c>
      <x:c r="G226" s="52">
        <x:v>60</x:v>
      </x:c>
      <x:c r="H226" s="52">
        <x:v>1228</x:v>
      </x:c>
      <x:c r="I226" s="52">
        <x:v>34</x:v>
      </x:c>
      <x:c r="J226" t="s">
        <x:v>1001</x:v>
      </x:c>
      <x:c r="K226" t="s">
        <x:v>1507</x:v>
      </x:c>
      <x:c r="L226" s="52">
        <x:v>5</x:v>
      </x:c>
      <x:c r="M226" s="52">
        <x:v>3</x:v>
      </x:c>
      <x:c r="N226" s="52">
        <x:v>3</x:v>
      </x:c>
      <x:c r="O226" s="52">
        <x:v>0</x:v>
      </x:c>
      <x:c r="P226" s="52">
        <x:v>0</x:v>
      </x:c>
      <x:c r="R226" s="52">
        <x:v>2511</x:v>
      </x:c>
      <x:c r="T226" t="s">
        <x:v>1398</x:v>
      </x:c>
      <x:c r="U226" t="s">
        <x:v>1399</x:v>
      </x:c>
    </x:row>
    <x:row r="227">
      <x:c r="A227" s="52">
        <x:v>2350</x:v>
      </x:c>
      <x:c r="B227" t="s">
        <x:v>249</x:v>
      </x:c>
      <x:c r="C227" t="s">
        <x:v>1880</x:v>
      </x:c>
      <x:c r="D227" t="s">
        <x:v>1878</x:v>
      </x:c>
      <x:c r="E227" t="s">
        <x:v>1881</x:v>
      </x:c>
      <x:c r="F227" t="s">
        <x:v>318</x:v>
      </x:c>
      <x:c r="G227" s="52">
        <x:v>60</x:v>
      </x:c>
      <x:c r="H227" s="52">
        <x:v>1478</x:v>
      </x:c>
      <x:c r="I227" s="52">
        <x:v>36</x:v>
      </x:c>
      <x:c r="J227" t="s">
        <x:v>1001</x:v>
      </x:c>
      <x:c r="K227" t="s">
        <x:v>1507</x:v>
      </x:c>
      <x:c r="L227" s="52">
        <x:v>5</x:v>
      </x:c>
      <x:c r="M227" s="52">
        <x:v>3</x:v>
      </x:c>
      <x:c r="N227" s="52">
        <x:v>3</x:v>
      </x:c>
      <x:c r="O227" s="52">
        <x:v>2</x:v>
      </x:c>
      <x:c r="P227" s="52">
        <x:v>0</x:v>
      </x:c>
      <x:c r="R227" s="52">
        <x:v>2729</x:v>
      </x:c>
      <x:c r="T227" t="s">
        <x:v>1398</x:v>
      </x:c>
      <x:c r="U227" t="s">
        <x:v>1399</x:v>
      </x:c>
    </x:row>
    <x:row r="228">
      <x:c r="A228" s="52">
        <x:v>2351</x:v>
      </x:c>
      <x:c r="B228" t="s">
        <x:v>395</x:v>
      </x:c>
      <x:c r="C228" t="s">
        <x:v>1882</x:v>
      </x:c>
      <x:c r="D228" t="s">
        <x:v>1878</x:v>
      </x:c>
      <x:c r="E228" t="s">
        <x:v>1883</x:v>
      </x:c>
      <x:c r="F228" t="s">
        <x:v>318</x:v>
      </x:c>
      <x:c r="G228" s="52">
        <x:v>60</x:v>
      </x:c>
      <x:c r="H228" s="52">
        <x:v>1396</x:v>
      </x:c>
      <x:c r="I228" s="52">
        <x:v>39</x:v>
      </x:c>
      <x:c r="J228" t="s">
        <x:v>1001</x:v>
      </x:c>
      <x:c r="K228" t="s">
        <x:v>1507</x:v>
      </x:c>
      <x:c r="L228" s="52">
        <x:v>5</x:v>
      </x:c>
      <x:c r="M228" s="52">
        <x:v>4</x:v>
      </x:c>
      <x:c r="N228" s="52">
        <x:v>4</x:v>
      </x:c>
      <x:c r="O228" s="52">
        <x:v>2</x:v>
      </x:c>
      <x:c r="P228" s="52">
        <x:v>0</x:v>
      </x:c>
      <x:c r="R228" s="52">
        <x:v>3050</x:v>
      </x:c>
      <x:c r="T228" t="s">
        <x:v>1398</x:v>
      </x:c>
      <x:c r="U228" t="s">
        <x:v>1399</x:v>
      </x:c>
    </x:row>
    <x:row r="229">
      <x:c r="A229" s="52">
        <x:v>2366</x:v>
      </x:c>
      <x:c r="B229" t="s">
        <x:v>353</x:v>
      </x:c>
      <x:c r="C229" t="s">
        <x:v>1884</x:v>
      </x:c>
      <x:c r="D229" t="s">
        <x:v>1885</x:v>
      </x:c>
      <x:c r="E229" t="s">
        <x:v>1886</x:v>
      </x:c>
      <x:c r="F229" t="s">
        <x:v>317</x:v>
      </x:c>
      <x:c r="G229" s="52">
        <x:v>35</x:v>
      </x:c>
      <x:c r="H229" s="52">
        <x:v>596</x:v>
      </x:c>
      <x:c r="I229" s="52">
        <x:v>21</x:v>
      </x:c>
      <x:c r="J229" t="s">
        <x:v>1411</x:v>
      </x:c>
      <x:c r="K229" t="s">
        <x:v>1607</x:v>
      </x:c>
      <x:c r="L229" s="52">
        <x:v>2</x:v>
      </x:c>
      <x:c r="M229" s="52">
        <x:v>1</x:v>
      </x:c>
      <x:c r="N229" s="52">
        <x:v>1</x:v>
      </x:c>
      <x:c r="O229" s="52">
        <x:v>0</x:v>
      </x:c>
      <x:c r="P229" s="52">
        <x:v>0</x:v>
      </x:c>
      <x:c r="Q229" t="s">
        <x:v>1432</x:v>
      </x:c>
      <x:c r="R229" s="52">
        <x:v>2600</x:v>
      </x:c>
      <x:c r="T229" t="s">
        <x:v>1398</x:v>
      </x:c>
      <x:c r="U229" t="s">
        <x:v>1399</x:v>
      </x:c>
    </x:row>
    <x:row r="230">
      <x:c r="A230" s="52">
        <x:v>2367</x:v>
      </x:c>
      <x:c r="B230" t="s">
        <x:v>85</x:v>
      </x:c>
      <x:c r="C230" t="s">
        <x:v>1887</x:v>
      </x:c>
      <x:c r="D230" t="s">
        <x:v>1885</x:v>
      </x:c>
      <x:c r="E230" t="s">
        <x:v>1888</x:v>
      </x:c>
      <x:c r="F230" t="s">
        <x:v>317</x:v>
      </x:c>
      <x:c r="G230" s="52">
        <x:v>35</x:v>
      </x:c>
      <x:c r="H230" s="52">
        <x:v>610</x:v>
      </x:c>
      <x:c r="I230" s="52">
        <x:v>24</x:v>
      </x:c>
      <x:c r="J230" t="s">
        <x:v>1411</x:v>
      </x:c>
      <x:c r="K230" t="s">
        <x:v>1607</x:v>
      </x:c>
      <x:c r="L230" s="52">
        <x:v>2</x:v>
      </x:c>
      <x:c r="M230" s="52">
        <x:v>1</x:v>
      </x:c>
      <x:c r="N230" s="52">
        <x:v>1</x:v>
      </x:c>
      <x:c r="O230" s="52">
        <x:v>0</x:v>
      </x:c>
      <x:c r="P230" s="52">
        <x:v>0</x:v>
      </x:c>
      <x:c r="Q230" t="s">
        <x:v>1485</x:v>
      </x:c>
      <x:c r="R230" s="52">
        <x:v>2600</x:v>
      </x:c>
      <x:c r="T230" t="s">
        <x:v>1398</x:v>
      </x:c>
      <x:c r="U230" t="s">
        <x:v>1399</x:v>
      </x:c>
    </x:row>
    <x:row r="231">
      <x:c r="A231" s="52">
        <x:v>2368</x:v>
      </x:c>
      <x:c r="B231" t="s">
        <x:v>355</x:v>
      </x:c>
      <x:c r="C231" t="s">
        <x:v>1889</x:v>
      </x:c>
      <x:c r="D231" t="s">
        <x:v>1885</x:v>
      </x:c>
      <x:c r="E231" t="s">
        <x:v>1890</x:v>
      </x:c>
      <x:c r="F231" t="s">
        <x:v>317</x:v>
      </x:c>
      <x:c r="G231" s="52">
        <x:v>35</x:v>
      </x:c>
      <x:c r="H231" s="52">
        <x:v>484</x:v>
      </x:c>
      <x:c r="I231" s="52">
        <x:v>18</x:v>
      </x:c>
      <x:c r="J231" t="s">
        <x:v>1411</x:v>
      </x:c>
      <x:c r="K231" t="s">
        <x:v>1607</x:v>
      </x:c>
      <x:c r="L231" s="52">
        <x:v>2</x:v>
      </x:c>
      <x:c r="M231" s="52">
        <x:v>0</x:v>
      </x:c>
      <x:c r="N231" s="52">
        <x:v>0</x:v>
      </x:c>
      <x:c r="O231" s="52">
        <x:v>0</x:v>
      </x:c>
      <x:c r="P231" s="52">
        <x:v>0</x:v>
      </x:c>
      <x:c r="Q231" t="s">
        <x:v>1891</x:v>
      </x:c>
      <x:c r="R231" s="52">
        <x:v>3049</x:v>
      </x:c>
      <x:c r="T231" t="s">
        <x:v>1398</x:v>
      </x:c>
      <x:c r="U231" t="s">
        <x:v>1399</x:v>
      </x:c>
    </x:row>
    <x:row r="232">
      <x:c r="A232" s="52">
        <x:v>2371</x:v>
      </x:c>
      <x:c r="B232" t="s">
        <x:v>388</x:v>
      </x:c>
      <x:c r="C232" t="s">
        <x:v>1892</x:v>
      </x:c>
      <x:c r="D232" t="s">
        <x:v>1893</x:v>
      </x:c>
      <x:c r="E232" t="s">
        <x:v>1894</x:v>
      </x:c>
      <x:c r="F232" t="s">
        <x:v>318</x:v>
      </x:c>
      <x:c r="G232" s="52">
        <x:v>60</x:v>
      </x:c>
      <x:c r="H232" s="52">
        <x:v>1277</x:v>
      </x:c>
      <x:c r="I232" s="52">
        <x:v>33</x:v>
      </x:c>
      <x:c r="J232" t="s">
        <x:v>1001</x:v>
      </x:c>
      <x:c r="K232" t="s">
        <x:v>1507</x:v>
      </x:c>
      <x:c r="L232" s="52">
        <x:v>5</x:v>
      </x:c>
      <x:c r="M232" s="52">
        <x:v>3</x:v>
      </x:c>
      <x:c r="N232" s="52">
        <x:v>3</x:v>
      </x:c>
      <x:c r="O232" s="52">
        <x:v>0</x:v>
      </x:c>
      <x:c r="P232" s="52">
        <x:v>0</x:v>
      </x:c>
      <x:c r="Q232" t="s">
        <x:v>1895</x:v>
      </x:c>
      <x:c r="R232" s="52">
        <x:v>2694</x:v>
      </x:c>
      <x:c r="T232" t="s">
        <x:v>1398</x:v>
      </x:c>
      <x:c r="U232" t="s">
        <x:v>1399</x:v>
      </x:c>
    </x:row>
    <x:row r="233">
      <x:c r="A233" s="52">
        <x:v>2374</x:v>
      </x:c>
      <x:c r="B233" t="s">
        <x:v>413</x:v>
      </x:c>
      <x:c r="C233" t="s">
        <x:v>1896</x:v>
      </x:c>
      <x:c r="D233" t="s">
        <x:v>1893</x:v>
      </x:c>
      <x:c r="E233" t="s">
        <x:v>1897</x:v>
      </x:c>
      <x:c r="F233" t="s">
        <x:v>318</x:v>
      </x:c>
      <x:c r="G233" s="52">
        <x:v>60</x:v>
      </x:c>
      <x:c r="H233" s="52">
        <x:v>1245</x:v>
      </x:c>
      <x:c r="I233" s="52">
        <x:v>35</x:v>
      </x:c>
      <x:c r="J233" t="s">
        <x:v>1001</x:v>
      </x:c>
      <x:c r="K233" t="s">
        <x:v>1507</x:v>
      </x:c>
      <x:c r="L233" s="52">
        <x:v>5</x:v>
      </x:c>
      <x:c r="M233" s="52">
        <x:v>4</x:v>
      </x:c>
      <x:c r="N233" s="52">
        <x:v>4</x:v>
      </x:c>
      <x:c r="O233" s="52">
        <x:v>0</x:v>
      </x:c>
      <x:c r="P233" s="52">
        <x:v>0</x:v>
      </x:c>
      <x:c r="Q233" t="s">
        <x:v>1652</x:v>
      </x:c>
      <x:c r="R233" s="52">
        <x:v>3050</x:v>
      </x:c>
      <x:c r="T233" t="s">
        <x:v>1398</x:v>
      </x:c>
      <x:c r="U233" t="s">
        <x:v>1399</x:v>
      </x:c>
    </x:row>
    <x:row r="234">
      <x:c r="A234" s="52">
        <x:v>2424</x:v>
      </x:c>
      <x:c r="B234" t="s">
        <x:v>344</x:v>
      </x:c>
      <x:c r="C234" t="s">
        <x:v>1898</x:v>
      </x:c>
      <x:c r="D234" t="s">
        <x:v>1899</x:v>
      </x:c>
      <x:c r="E234" t="s">
        <x:v>1900</x:v>
      </x:c>
      <x:c r="F234" t="s">
        <x:v>317</x:v>
      </x:c>
      <x:c r="G234" s="52">
        <x:v>35</x:v>
      </x:c>
      <x:c r="H234" s="52">
        <x:v>741</x:v>
      </x:c>
      <x:c r="I234" s="52">
        <x:v>20</x:v>
      </x:c>
      <x:c r="J234" t="s">
        <x:v>947</x:v>
      </x:c>
      <x:c r="K234" t="s">
        <x:v>1500</x:v>
      </x:c>
      <x:c r="L234" s="52">
        <x:v>4</x:v>
      </x:c>
      <x:c r="M234" s="52">
        <x:v>2</x:v>
      </x:c>
      <x:c r="N234" s="52">
        <x:v>2</x:v>
      </x:c>
      <x:c r="O234" s="52">
        <x:v>0</x:v>
      </x:c>
      <x:c r="P234" s="52">
        <x:v>0</x:v>
      </x:c>
      <x:c r="R234" s="52">
        <x:v>2739</x:v>
      </x:c>
      <x:c r="T234" t="s">
        <x:v>1398</x:v>
      </x:c>
      <x:c r="U234" t="s">
        <x:v>1399</x:v>
      </x:c>
    </x:row>
    <x:row r="235">
      <x:c r="A235" s="52">
        <x:v>2472</x:v>
      </x:c>
      <x:c r="B235" t="s">
        <x:v>62</x:v>
      </x:c>
      <x:c r="C235" t="s">
        <x:v>1901</x:v>
      </x:c>
      <x:c r="D235" t="s">
        <x:v>1902</x:v>
      </x:c>
      <x:c r="E235" t="s">
        <x:v>1435</x:v>
      </x:c>
      <x:c r="F235" t="s">
        <x:v>317</x:v>
      </x:c>
      <x:c r="G235" s="52">
        <x:v>35</x:v>
      </x:c>
      <x:c r="H235" s="52">
        <x:v>1434</x:v>
      </x:c>
      <x:c r="I235" s="52">
        <x:v>28</x:v>
      </x:c>
      <x:c r="J235" t="s">
        <x:v>334</x:v>
      </x:c>
      <x:c r="K235" t="s">
        <x:v>1553</x:v>
      </x:c>
      <x:c r="L235" s="52">
        <x:v>3</x:v>
      </x:c>
      <x:c r="M235" s="52">
        <x:v>3</x:v>
      </x:c>
      <x:c r="N235" s="52">
        <x:v>3</x:v>
      </x:c>
      <x:c r="O235" s="52">
        <x:v>2</x:v>
      </x:c>
      <x:c r="P235" s="52">
        <x:v>0</x:v>
      </x:c>
      <x:c r="Q235" t="s">
        <x:v>1432</x:v>
      </x:c>
      <x:c r="R235" s="52">
        <x:v>2835</x:v>
      </x:c>
      <x:c r="T235" t="s">
        <x:v>857</x:v>
      </x:c>
      <x:c r="U235" t="s">
        <x:v>1399</x:v>
      </x:c>
    </x:row>
    <x:row r="236">
      <x:c r="A236" s="52">
        <x:v>2473</x:v>
      </x:c>
      <x:c r="B236" t="s">
        <x:v>66</x:v>
      </x:c>
      <x:c r="C236" t="s">
        <x:v>1903</x:v>
      </x:c>
      <x:c r="D236" t="s">
        <x:v>1902</x:v>
      </x:c>
      <x:c r="E236">
        <x:v>2</x:v>
      </x:c>
      <x:c r="F236" t="s">
        <x:v>317</x:v>
      </x:c>
      <x:c r="G236" s="52">
        <x:v>35</x:v>
      </x:c>
      <x:c r="H236" s="52">
        <x:v>1191</x:v>
      </x:c>
      <x:c r="I236" s="52">
        <x:v>26</x:v>
      </x:c>
      <x:c r="J236" t="s">
        <x:v>975</x:v>
      </x:c>
      <x:c r="K236" t="s">
        <x:v>1553</x:v>
      </x:c>
      <x:c r="L236" s="52">
        <x:v>3</x:v>
      </x:c>
      <x:c r="M236" s="52">
        <x:v>2</x:v>
      </x:c>
      <x:c r="N236" s="52">
        <x:v>2</x:v>
      </x:c>
      <x:c r="O236" s="52">
        <x:v>2</x:v>
      </x:c>
      <x:c r="P236" s="52">
        <x:v>0</x:v>
      </x:c>
      <x:c r="Q236" t="s">
        <x:v>1904</x:v>
      </x:c>
      <x:c r="R236" s="52">
        <x:v>2856</x:v>
      </x:c>
      <x:c r="T236" t="s">
        <x:v>857</x:v>
      </x:c>
      <x:c r="U236" t="s">
        <x:v>1399</x:v>
      </x:c>
    </x:row>
    <x:row r="237">
      <x:c r="A237" s="52">
        <x:v>2474</x:v>
      </x:c>
      <x:c r="B237" t="s">
        <x:v>67</x:v>
      </x:c>
      <x:c r="C237" t="s">
        <x:v>1905</x:v>
      </x:c>
      <x:c r="D237" t="s">
        <x:v>1902</x:v>
      </x:c>
      <x:c r="E237">
        <x:v>3</x:v>
      </x:c>
      <x:c r="F237" t="s">
        <x:v>317</x:v>
      </x:c>
      <x:c r="G237" s="52">
        <x:v>35</x:v>
      </x:c>
      <x:c r="H237" s="52">
        <x:v>1545</x:v>
      </x:c>
      <x:c r="I237" s="52">
        <x:v>28</x:v>
      </x:c>
      <x:c r="J237" t="s">
        <x:v>1253</x:v>
      </x:c>
      <x:c r="K237" t="s">
        <x:v>1553</x:v>
      </x:c>
      <x:c r="L237" s="52">
        <x:v>3</x:v>
      </x:c>
      <x:c r="M237" s="52">
        <x:v>3</x:v>
      </x:c>
      <x:c r="N237" s="52">
        <x:v>3</x:v>
      </x:c>
      <x:c r="O237" s="52">
        <x:v>2</x:v>
      </x:c>
      <x:c r="P237" s="52">
        <x:v>0</x:v>
      </x:c>
      <x:c r="Q237" t="s">
        <x:v>1656</x:v>
      </x:c>
      <x:c r="R237" s="52">
        <x:v>3061</x:v>
      </x:c>
      <x:c r="S237" t="s">
        <x:v>1677</x:v>
      </x:c>
      <x:c r="T237" t="s">
        <x:v>857</x:v>
      </x:c>
      <x:c r="U237" t="s">
        <x:v>1399</x:v>
      </x:c>
    </x:row>
    <x:row r="238">
      <x:c r="A238" s="52">
        <x:v>2475</x:v>
      </x:c>
      <x:c r="B238" t="s">
        <x:v>68</x:v>
      </x:c>
      <x:c r="C238" t="s">
        <x:v>1906</x:v>
      </x:c>
      <x:c r="D238" t="s">
        <x:v>1902</x:v>
      </x:c>
      <x:c r="E238">
        <x:v>4</x:v>
      </x:c>
      <x:c r="F238" t="s">
        <x:v>317</x:v>
      </x:c>
      <x:c r="G238" s="52">
        <x:v>35</x:v>
      </x:c>
      <x:c r="H238" s="52">
        <x:v>1198</x:v>
      </x:c>
      <x:c r="I238" s="52">
        <x:v>28</x:v>
      </x:c>
      <x:c r="J238" t="s">
        <x:v>334</x:v>
      </x:c>
      <x:c r="K238" t="s">
        <x:v>1553</x:v>
      </x:c>
      <x:c r="L238" s="52">
        <x:v>3</x:v>
      </x:c>
      <x:c r="M238" s="52">
        <x:v>4</x:v>
      </x:c>
      <x:c r="N238" s="52">
        <x:v>3</x:v>
      </x:c>
      <x:c r="O238" s="52">
        <x:v>1</x:v>
      </x:c>
      <x:c r="P238" s="52">
        <x:v>0</x:v>
      </x:c>
      <x:c r="Q238" t="s">
        <x:v>1656</x:v>
      </x:c>
      <x:c r="R238" s="52">
        <x:v>3064</x:v>
      </x:c>
      <x:c r="S238" t="s">
        <x:v>1677</x:v>
      </x:c>
      <x:c r="T238" t="s">
        <x:v>857</x:v>
      </x:c>
      <x:c r="U238" t="s">
        <x:v>1399</x:v>
      </x:c>
    </x:row>
    <x:row r="239">
      <x:c r="A239" s="52">
        <x:v>2511</x:v>
      </x:c>
      <x:c r="B239" t="s">
        <x:v>297</x:v>
      </x:c>
      <x:c r="C239" t="s">
        <x:v>1907</x:v>
      </x:c>
      <x:c r="D239" t="s">
        <x:v>297</x:v>
      </x:c>
      <x:c r="E239" t="s">
        <x:v>1435</x:v>
      </x:c>
      <x:c r="F239" t="s">
        <x:v>324</x:v>
      </x:c>
      <x:c r="G239" s="52">
        <x:v>80</x:v>
      </x:c>
      <x:c r="H239" s="52">
        <x:v>2057</x:v>
      </x:c>
      <x:c r="I239" s="52">
        <x:v>41</x:v>
      </x:c>
      <x:c r="J239" t="s">
        <x:v>1253</x:v>
      </x:c>
      <x:c r="K239" t="s">
        <x:v>1470</x:v>
      </x:c>
      <x:c r="L239" s="52">
        <x:v>7</x:v>
      </x:c>
      <x:c r="M239" s="52">
        <x:v>4</x:v>
      </x:c>
      <x:c r="N239" s="52">
        <x:v>3</x:v>
      </x:c>
      <x:c r="O239" s="52">
        <x:v>3</x:v>
      </x:c>
      <x:c r="P239" s="52">
        <x:v>0</x:v>
      </x:c>
      <x:c r="Q239" t="s">
        <x:v>1656</x:v>
      </x:c>
      <x:c r="R239" s="52">
        <x:v>2851</x:v>
      </x:c>
      <x:c r="T239" t="s">
        <x:v>857</x:v>
      </x:c>
      <x:c r="U239" t="s">
        <x:v>1399</x:v>
      </x:c>
    </x:row>
    <x:row r="240">
      <x:c r="A240" s="52">
        <x:v>2512</x:v>
      </x:c>
      <x:c r="B240" t="s">
        <x:v>303</x:v>
      </x:c>
      <x:c r="C240" t="s">
        <x:v>303</x:v>
      </x:c>
      <x:c r="D240" t="s">
        <x:v>297</x:v>
      </x:c>
      <x:c r="E240">
        <x:v>2</x:v>
      </x:c>
      <x:c r="F240" t="s">
        <x:v>324</x:v>
      </x:c>
      <x:c r="G240" s="52">
        <x:v>80</x:v>
      </x:c>
      <x:c r="H240" s="52">
        <x:v>2892</x:v>
      </x:c>
      <x:c r="I240" s="52">
        <x:v>48</x:v>
      </x:c>
      <x:c r="J240" t="s">
        <x:v>975</x:v>
      </x:c>
      <x:c r="K240" t="s">
        <x:v>1470</x:v>
      </x:c>
      <x:c r="L240" s="52">
        <x:v>6</x:v>
      </x:c>
      <x:c r="M240" s="52">
        <x:v>4</x:v>
      </x:c>
      <x:c r="N240" s="52">
        <x:v>4</x:v>
      </x:c>
      <x:c r="O240" s="52">
        <x:v>4</x:v>
      </x:c>
      <x:c r="P240" s="52">
        <x:v>0</x:v>
      </x:c>
      <x:c r="Q240" t="s">
        <x:v>1908</x:v>
      </x:c>
      <x:c r="R240" s="52">
        <x:v>2852</x:v>
      </x:c>
      <x:c r="T240" t="s">
        <x:v>857</x:v>
      </x:c>
      <x:c r="U240" t="s">
        <x:v>1399</x:v>
      </x:c>
    </x:row>
    <x:row r="241">
      <x:c r="A241" s="52">
        <x:v>2491</x:v>
      </x:c>
      <x:c r="B241" t="s">
        <x:v>372</x:v>
      </x:c>
      <x:c r="C241" t="s">
        <x:v>1909</x:v>
      </x:c>
      <x:c r="D241" t="s">
        <x:v>1910</x:v>
      </x:c>
      <x:c r="E241" t="s">
        <x:v>1911</x:v>
      </x:c>
      <x:c r="F241" t="s">
        <x:v>319</x:v>
      </x:c>
      <x:c r="G241" s="52">
        <x:v>45</x:v>
      </x:c>
      <x:c r="H241" s="52">
        <x:v>1041</x:v>
      </x:c>
      <x:c r="I241" s="52">
        <x:v>26</x:v>
      </x:c>
      <x:c r="J241" t="s">
        <x:v>1001</x:v>
      </x:c>
      <x:c r="K241" t="s">
        <x:v>1553</x:v>
      </x:c>
      <x:c r="L241" s="52">
        <x:v>4</x:v>
      </x:c>
      <x:c r="M241" s="52">
        <x:v>2</x:v>
      </x:c>
      <x:c r="N241" s="52">
        <x:v>2</x:v>
      </x:c>
      <x:c r="O241" s="52">
        <x:v>0</x:v>
      </x:c>
      <x:c r="P241" s="52">
        <x:v>0</x:v>
      </x:c>
      <x:c r="R241" s="52">
        <x:v>2568</x:v>
      </x:c>
      <x:c r="T241" t="s">
        <x:v>1398</x:v>
      </x:c>
      <x:c r="U241" t="s">
        <x:v>1399</x:v>
      </x:c>
    </x:row>
    <x:row r="242">
      <x:c r="A242" s="52">
        <x:v>7602</x:v>
      </x:c>
      <x:c r="B242" t="s">
        <x:v>375</x:v>
      </x:c>
      <x:c r="C242" t="s">
        <x:v>1912</x:v>
      </x:c>
      <x:c r="D242" t="s">
        <x:v>1910</x:v>
      </x:c>
      <x:c r="E242" t="s">
        <x:v>1913</x:v>
      </x:c>
      <x:c r="F242" t="s">
        <x:v>319</x:v>
      </x:c>
      <x:c r="G242" s="52">
        <x:v>45</x:v>
      </x:c>
      <x:c r="H242" s="52">
        <x:v>1174</x:v>
      </x:c>
      <x:c r="I242" s="52">
        <x:v>27</x:v>
      </x:c>
      <x:c r="J242" t="s">
        <x:v>1001</x:v>
      </x:c>
      <x:c r="K242" t="s">
        <x:v>1553</x:v>
      </x:c>
      <x:c r="L242" s="52">
        <x:v>4</x:v>
      </x:c>
      <x:c r="M242" s="52">
        <x:v>2</x:v>
      </x:c>
      <x:c r="N242" s="52">
        <x:v>2</x:v>
      </x:c>
      <x:c r="O242" s="52">
        <x:v>1</x:v>
      </x:c>
      <x:c r="P242" s="52">
        <x:v>0</x:v>
      </x:c>
      <x:c r="Q242" t="s">
        <x:v>1914</x:v>
      </x:c>
      <x:c r="R242" s="52">
        <x:v>3052</x:v>
      </x:c>
      <x:c r="T242" t="s">
        <x:v>1398</x:v>
      </x:c>
      <x:c r="U242" t="s">
        <x:v>1399</x:v>
      </x:c>
    </x:row>
    <x:row r="243">
      <x:c r="A243" s="52">
        <x:v>2525</x:v>
      </x:c>
      <x:c r="B243" t="s">
        <x:v>441</x:v>
      </x:c>
      <x:c r="C243" t="s">
        <x:v>1915</x:v>
      </x:c>
      <x:c r="D243" t="s">
        <x:v>1916</x:v>
      </x:c>
      <x:c r="E243" t="s">
        <x:v>1917</x:v>
      </x:c>
      <x:c r="F243" t="s">
        <x:v>324</x:v>
      </x:c>
      <x:c r="G243" s="52">
        <x:v>100</x:v>
      </x:c>
      <x:c r="H243" s="52">
        <x:v>2697</x:v>
      </x:c>
      <x:c r="I243" s="52">
        <x:v>51</x:v>
      </x:c>
      <x:c r="J243" t="s">
        <x:v>928</x:v>
      </x:c>
      <x:c r="K243" t="s">
        <x:v>1459</x:v>
      </x:c>
      <x:c r="L243" s="52">
        <x:v>10</x:v>
      </x:c>
      <x:c r="M243" s="52">
        <x:v>6</x:v>
      </x:c>
      <x:c r="N243" s="52">
        <x:v>6</x:v>
      </x:c>
      <x:c r="O243" s="52">
        <x:v>3</x:v>
      </x:c>
      <x:c r="P243" s="52">
        <x:v>0</x:v>
      </x:c>
      <x:c r="R243" s="52">
        <x:v>2594</x:v>
      </x:c>
      <x:c r="T243" t="s">
        <x:v>1398</x:v>
      </x:c>
      <x:c r="U243" t="s">
        <x:v>1399</x:v>
      </x:c>
    </x:row>
    <x:row r="244">
      <x:c r="A244" s="52">
        <x:v>2535</x:v>
      </x:c>
      <x:c r="B244" t="s">
        <x:v>84</x:v>
      </x:c>
      <x:c r="C244" t="s">
        <x:v>1918</x:v>
      </x:c>
      <x:c r="D244" t="s">
        <x:v>84</x:v>
      </x:c>
      <x:c r="E244" t="s">
        <x:v>1435</x:v>
      </x:c>
      <x:c r="F244" t="s">
        <x:v>317</x:v>
      </x:c>
      <x:c r="G244" s="52">
        <x:v>20</x:v>
      </x:c>
      <x:c r="H244" s="52">
        <x:v>998</x:v>
      </x:c>
      <x:c r="I244" s="52">
        <x:v>25</x:v>
      </x:c>
      <x:c r="J244" t="s">
        <x:v>334</x:v>
      </x:c>
      <x:c r="K244" t="s">
        <x:v>1492</x:v>
      </x:c>
      <x:c r="L244" s="52">
        <x:v>2</x:v>
      </x:c>
      <x:c r="M244" s="52">
        <x:v>5</x:v>
      </x:c>
      <x:c r="N244" s="52">
        <x:v>2</x:v>
      </x:c>
      <x:c r="O244" s="52">
        <x:v>0</x:v>
      </x:c>
      <x:c r="P244" s="52">
        <x:v>0</x:v>
      </x:c>
      <x:c r="Q244" t="s">
        <x:v>1656</x:v>
      </x:c>
      <x:c r="R244" s="52">
        <x:v>3051</x:v>
      </x:c>
      <x:c r="T244" t="s">
        <x:v>857</x:v>
      </x:c>
      <x:c r="U244" t="s">
        <x:v>1399</x:v>
      </x:c>
    </x:row>
    <x:row r="245">
      <x:c r="A245" s="52">
        <x:v>2557</x:v>
      </x:c>
      <x:c r="B245" t="s">
        <x:v>116</x:v>
      </x:c>
      <x:c r="C245" t="s">
        <x:v>116</x:v>
      </x:c>
      <x:c r="D245" t="s">
        <x:v>1919</x:v>
      </x:c>
      <x:c r="E245" t="s">
        <x:v>1469</x:v>
      </x:c>
      <x:c r="F245" t="s">
        <x:v>319</x:v>
      </x:c>
      <x:c r="G245" s="52">
        <x:v>40</x:v>
      </x:c>
      <x:c r="H245" s="52">
        <x:v>2081</x:v>
      </x:c>
      <x:c r="I245" s="52">
        <x:v>36</x:v>
      </x:c>
      <x:c r="J245" t="s">
        <x:v>975</x:v>
      </x:c>
      <x:c r="K245" t="s">
        <x:v>1920</x:v>
      </x:c>
      <x:c r="L245" s="52">
        <x:v>4</x:v>
      </x:c>
      <x:c r="M245" s="52">
        <x:v>4</x:v>
      </x:c>
      <x:c r="N245" s="52">
        <x:v>4</x:v>
      </x:c>
      <x:c r="O245" s="52">
        <x:v>2</x:v>
      </x:c>
      <x:c r="P245" s="52">
        <x:v>0</x:v>
      </x:c>
      <x:c r="Q245" t="s">
        <x:v>1921</x:v>
      </x:c>
      <x:c r="R245" s="52">
        <x:v>3050</x:v>
      </x:c>
      <x:c r="T245" t="s">
        <x:v>857</x:v>
      </x:c>
      <x:c r="U245" t="s">
        <x:v>1399</x:v>
      </x:c>
    </x:row>
    <x:row r="246">
      <x:c r="A246" s="52">
        <x:v>2558</x:v>
      </x:c>
      <x:c r="B246" t="s">
        <x:v>135</x:v>
      </x:c>
      <x:c r="C246" t="s">
        <x:v>135</x:v>
      </x:c>
      <x:c r="D246" t="s">
        <x:v>1919</x:v>
      </x:c>
      <x:c r="E246" t="s">
        <x:v>1441</x:v>
      </x:c>
      <x:c r="F246" t="s">
        <x:v>319</x:v>
      </x:c>
      <x:c r="G246" s="52">
        <x:v>40</x:v>
      </x:c>
      <x:c r="H246" s="52">
        <x:v>1836</x:v>
      </x:c>
      <x:c r="I246" s="52">
        <x:v>32</x:v>
      </x:c>
      <x:c r="J246" t="s">
        <x:v>1253</x:v>
      </x:c>
      <x:c r="K246" t="s">
        <x:v>1920</x:v>
      </x:c>
      <x:c r="L246" s="52">
        <x:v>4</x:v>
      </x:c>
      <x:c r="M246" s="52">
        <x:v>3</x:v>
      </x:c>
      <x:c r="N246" s="52">
        <x:v>3</x:v>
      </x:c>
      <x:c r="O246" s="52">
        <x:v>3</x:v>
      </x:c>
      <x:c r="P246" s="52">
        <x:v>0</x:v>
      </x:c>
      <x:c r="Q246" t="s">
        <x:v>1567</x:v>
      </x:c>
      <x:c r="R246" s="52">
        <x:v>3050</x:v>
      </x:c>
      <x:c r="T246" t="s">
        <x:v>857</x:v>
      </x:c>
      <x:c r="U246" t="s">
        <x:v>1399</x:v>
      </x:c>
    </x:row>
    <x:row r="247">
      <x:c r="A247" s="52">
        <x:v>2559</x:v>
      </x:c>
      <x:c r="B247" t="s">
        <x:v>109</x:v>
      </x:c>
      <x:c r="C247" t="s">
        <x:v>109</x:v>
      </x:c>
      <x:c r="D247" t="s">
        <x:v>1919</x:v>
      </x:c>
      <x:c r="E247" t="s">
        <x:v>1406</x:v>
      </x:c>
      <x:c r="F247" t="s">
        <x:v>319</x:v>
      </x:c>
      <x:c r="G247" s="52">
        <x:v>40</x:v>
      </x:c>
      <x:c r="H247" s="52">
        <x:v>1653</x:v>
      </x:c>
      <x:c r="I247" s="52">
        <x:v>37</x:v>
      </x:c>
      <x:c r="J247" t="s">
        <x:v>334</x:v>
      </x:c>
      <x:c r="K247" t="s">
        <x:v>1920</x:v>
      </x:c>
      <x:c r="L247" s="52">
        <x:v>4</x:v>
      </x:c>
      <x:c r="M247" s="52">
        <x:v>5</x:v>
      </x:c>
      <x:c r="N247" s="52">
        <x:v>5</x:v>
      </x:c>
      <x:c r="O247" s="52">
        <x:v>2</x:v>
      </x:c>
      <x:c r="P247" s="52">
        <x:v>0</x:v>
      </x:c>
      <x:c r="Q247" t="s">
        <x:v>1473</x:v>
      </x:c>
      <x:c r="R247" s="52">
        <x:v>3050</x:v>
      </x:c>
      <x:c r="T247" t="s">
        <x:v>857</x:v>
      </x:c>
      <x:c r="U247" t="s">
        <x:v>1399</x:v>
      </x:c>
    </x:row>
    <x:row r="248">
      <x:c r="A248" s="52">
        <x:v>2563</x:v>
      </x:c>
      <x:c r="B248" t="s">
        <x:v>131</x:v>
      </x:c>
      <x:c r="C248" t="s">
        <x:v>131</x:v>
      </x:c>
      <x:c r="D248" t="s">
        <x:v>1919</x:v>
      </x:c>
      <x:c r="E248" t="s">
        <x:v>1444</x:v>
      </x:c>
      <x:c r="F248" t="s">
        <x:v>319</x:v>
      </x:c>
      <x:c r="G248" s="52">
        <x:v>40</x:v>
      </x:c>
      <x:c r="H248" s="52">
        <x:v>2557</x:v>
      </x:c>
      <x:c r="I248" s="52">
        <x:v>31</x:v>
      </x:c>
      <x:c r="J248" t="s">
        <x:v>1253</x:v>
      </x:c>
      <x:c r="K248" t="s">
        <x:v>1920</x:v>
      </x:c>
      <x:c r="L248" s="52">
        <x:v>4</x:v>
      </x:c>
      <x:c r="M248" s="52">
        <x:v>3</x:v>
      </x:c>
      <x:c r="N248" s="52">
        <x:v>3</x:v>
      </x:c>
      <x:c r="O248" s="52">
        <x:v>3</x:v>
      </x:c>
      <x:c r="P248" s="52">
        <x:v>0</x:v>
      </x:c>
      <x:c r="Q248" t="s">
        <x:v>1634</x:v>
      </x:c>
      <x:c r="R248" s="52">
        <x:v>3050</x:v>
      </x:c>
      <x:c r="T248" t="s">
        <x:v>857</x:v>
      </x:c>
      <x:c r="U248" t="s">
        <x:v>1399</x:v>
      </x:c>
    </x:row>
    <x:row r="249">
      <x:c r="A249" s="52">
        <x:v>2591</x:v>
      </x:c>
      <x:c r="B249" t="s">
        <x:v>45</x:v>
      </x:c>
      <x:c r="C249" t="s">
        <x:v>1922</x:v>
      </x:c>
      <x:c r="D249" t="s">
        <x:v>1923</x:v>
      </x:c>
      <x:c r="E249" t="s">
        <x:v>1469</x:v>
      </x:c>
      <x:c r="F249" t="s">
        <x:v>317</x:v>
      </x:c>
      <x:c r="G249" s="52">
        <x:v>35</x:v>
      </x:c>
      <x:c r="H249" s="52">
        <x:v>1437</x:v>
      </x:c>
      <x:c r="I249" s="52">
        <x:v>35</x:v>
      </x:c>
      <x:c r="J249" t="s">
        <x:v>975</x:v>
      </x:c>
      <x:c r="K249" t="s">
        <x:v>1442</x:v>
      </x:c>
      <x:c r="L249" s="52">
        <x:v>4</x:v>
      </x:c>
      <x:c r="M249" s="52">
        <x:v>4</x:v>
      </x:c>
      <x:c r="N249" s="52">
        <x:v>4</x:v>
      </x:c>
      <x:c r="O249" s="52">
        <x:v>3</x:v>
      </x:c>
      <x:c r="P249" s="52">
        <x:v>0</x:v>
      </x:c>
      <x:c r="Q249" t="s">
        <x:v>1494</x:v>
      </x:c>
      <x:c r="R249" s="52">
        <x:v>3012</x:v>
      </x:c>
      <x:c r="T249" t="s">
        <x:v>857</x:v>
      </x:c>
      <x:c r="U249" t="s">
        <x:v>1399</x:v>
      </x:c>
    </x:row>
    <x:row r="250">
      <x:c r="A250" s="52">
        <x:v>2592</x:v>
      </x:c>
      <x:c r="B250" t="s">
        <x:v>32</x:v>
      </x:c>
      <x:c r="C250" t="s">
        <x:v>1924</x:v>
      </x:c>
      <x:c r="D250" t="s">
        <x:v>1923</x:v>
      </x:c>
      <x:c r="E250" t="s">
        <x:v>1441</x:v>
      </x:c>
      <x:c r="F250" t="s">
        <x:v>317</x:v>
      </x:c>
      <x:c r="G250" s="52">
        <x:v>35</x:v>
      </x:c>
      <x:c r="H250" s="52">
        <x:v>1422</x:v>
      </x:c>
      <x:c r="I250" s="52">
        <x:v>28</x:v>
      </x:c>
      <x:c r="J250" t="s">
        <x:v>1253</x:v>
      </x:c>
      <x:c r="K250" t="s">
        <x:v>1442</x:v>
      </x:c>
      <x:c r="L250" s="52">
        <x:v>4</x:v>
      </x:c>
      <x:c r="M250" s="52">
        <x:v>3</x:v>
      </x:c>
      <x:c r="N250" s="52">
        <x:v>3</x:v>
      </x:c>
      <x:c r="O250" s="52">
        <x:v>2</x:v>
      </x:c>
      <x:c r="P250" s="52">
        <x:v>0</x:v>
      </x:c>
      <x:c r="Q250" t="s">
        <x:v>1925</x:v>
      </x:c>
      <x:c r="R250" s="52">
        <x:v>3010</x:v>
      </x:c>
      <x:c r="T250" t="s">
        <x:v>857</x:v>
      </x:c>
      <x:c r="U250" t="s">
        <x:v>1399</x:v>
      </x:c>
    </x:row>
    <x:row r="251">
      <x:c r="A251" s="52">
        <x:v>2593</x:v>
      </x:c>
      <x:c r="B251" t="s">
        <x:v>48</x:v>
      </x:c>
      <x:c r="C251" t="s">
        <x:v>1926</x:v>
      </x:c>
      <x:c r="D251" t="s">
        <x:v>1923</x:v>
      </x:c>
      <x:c r="E251" t="s">
        <x:v>1406</x:v>
      </x:c>
      <x:c r="F251" t="s">
        <x:v>317</x:v>
      </x:c>
      <x:c r="G251" s="52">
        <x:v>35</x:v>
      </x:c>
      <x:c r="H251" s="52">
        <x:v>1372</x:v>
      </x:c>
      <x:c r="I251" s="52">
        <x:v>31</x:v>
      </x:c>
      <x:c r="J251" t="s">
        <x:v>975</x:v>
      </x:c>
      <x:c r="K251" t="s">
        <x:v>1442</x:v>
      </x:c>
      <x:c r="L251" s="52">
        <x:v>4</x:v>
      </x:c>
      <x:c r="M251" s="52">
        <x:v>3</x:v>
      </x:c>
      <x:c r="N251" s="52">
        <x:v>3</x:v>
      </x:c>
      <x:c r="O251" s="52">
        <x:v>2</x:v>
      </x:c>
      <x:c r="P251" s="52">
        <x:v>0</x:v>
      </x:c>
      <x:c r="Q251" t="s">
        <x:v>1927</x:v>
      </x:c>
      <x:c r="R251" s="52">
        <x:v>3012</x:v>
      </x:c>
      <x:c r="T251" t="s">
        <x:v>857</x:v>
      </x:c>
      <x:c r="U251" t="s">
        <x:v>1399</x:v>
      </x:c>
    </x:row>
    <x:row r="252">
      <x:c r="A252" s="52">
        <x:v>2594</x:v>
      </x:c>
      <x:c r="B252" t="s">
        <x:v>49</x:v>
      </x:c>
      <x:c r="C252" t="s">
        <x:v>1928</x:v>
      </x:c>
      <x:c r="D252" t="s">
        <x:v>1923</x:v>
      </x:c>
      <x:c r="E252" t="s">
        <x:v>1476</x:v>
      </x:c>
      <x:c r="F252" t="s">
        <x:v>317</x:v>
      </x:c>
      <x:c r="G252" s="52">
        <x:v>35</x:v>
      </x:c>
      <x:c r="H252" s="52">
        <x:v>1255</x:v>
      </x:c>
      <x:c r="I252" s="52">
        <x:v>28</x:v>
      </x:c>
      <x:c r="J252" t="s">
        <x:v>1253</x:v>
      </x:c>
      <x:c r="K252" t="s">
        <x:v>1442</x:v>
      </x:c>
      <x:c r="L252" s="52">
        <x:v>4</x:v>
      </x:c>
      <x:c r="M252" s="52">
        <x:v>3</x:v>
      </x:c>
      <x:c r="N252" s="52">
        <x:v>3</x:v>
      </x:c>
      <x:c r="O252" s="52">
        <x:v>2</x:v>
      </x:c>
      <x:c r="P252" s="52">
        <x:v>0</x:v>
      </x:c>
      <x:c r="Q252" t="s">
        <x:v>1473</x:v>
      </x:c>
      <x:c r="R252" s="52">
        <x:v>3010</x:v>
      </x:c>
      <x:c r="T252" t="s">
        <x:v>857</x:v>
      </x:c>
      <x:c r="U252" t="s">
        <x:v>1399</x:v>
      </x:c>
    </x:row>
    <x:row r="253">
      <x:c r="A253" s="52">
        <x:v>2598</x:v>
      </x:c>
      <x:c r="B253" t="s">
        <x:v>30</x:v>
      </x:c>
      <x:c r="C253" t="s">
        <x:v>1929</x:v>
      </x:c>
      <x:c r="D253" t="s">
        <x:v>1923</x:v>
      </x:c>
      <x:c r="E253" t="s">
        <x:v>1444</x:v>
      </x:c>
      <x:c r="F253" t="s">
        <x:v>317</x:v>
      </x:c>
      <x:c r="G253" s="52">
        <x:v>35</x:v>
      </x:c>
      <x:c r="H253" s="52">
        <x:v>2083</x:v>
      </x:c>
      <x:c r="I253" s="52">
        <x:v>30</x:v>
      </x:c>
      <x:c r="J253" t="s">
        <x:v>1253</x:v>
      </x:c>
      <x:c r="K253" t="s">
        <x:v>1442</x:v>
      </x:c>
      <x:c r="L253" s="52">
        <x:v>4</x:v>
      </x:c>
      <x:c r="M253" s="52">
        <x:v>3</x:v>
      </x:c>
      <x:c r="N253" s="52">
        <x:v>3</x:v>
      </x:c>
      <x:c r="O253" s="52">
        <x:v>3</x:v>
      </x:c>
      <x:c r="P253" s="52">
        <x:v>0</x:v>
      </x:c>
      <x:c r="Q253" t="s">
        <x:v>1634</x:v>
      </x:c>
      <x:c r="R253" s="52">
        <x:v>3010</x:v>
      </x:c>
      <x:c r="T253" t="s">
        <x:v>857</x:v>
      </x:c>
      <x:c r="U253" t="s">
        <x:v>1399</x:v>
      </x:c>
    </x:row>
    <x:row r="254">
      <x:c r="A254" s="52">
        <x:v>7483</x:v>
      </x:c>
      <x:c r="B254" t="s">
        <x:v>38</x:v>
      </x:c>
      <x:c r="C254" t="s">
        <x:v>1930</x:v>
      </x:c>
      <x:c r="D254" t="s">
        <x:v>1923</x:v>
      </x:c>
      <x:c r="E254" t="s">
        <x:v>1480</x:v>
      </x:c>
      <x:c r="F254" t="s">
        <x:v>317</x:v>
      </x:c>
      <x:c r="G254" s="52">
        <x:v>35</x:v>
      </x:c>
      <x:c r="H254" s="52">
        <x:v>1427</x:v>
      </x:c>
      <x:c r="I254" s="52">
        <x:v>38</x:v>
      </x:c>
      <x:c r="J254" t="s">
        <x:v>1411</x:v>
      </x:c>
      <x:c r="K254" t="s">
        <x:v>1442</x:v>
      </x:c>
      <x:c r="L254" s="52">
        <x:v>4</x:v>
      </x:c>
      <x:c r="M254" s="52">
        <x:v>7</x:v>
      </x:c>
      <x:c r="N254" s="52">
        <x:v>4</x:v>
      </x:c>
      <x:c r="O254" s="52">
        <x:v>0</x:v>
      </x:c>
      <x:c r="P254" s="52">
        <x:v>0</x:v>
      </x:c>
      <x:c r="Q254" t="s">
        <x:v>1931</x:v>
      </x:c>
      <x:c r="R254" s="52">
        <x:v>3050</x:v>
      </x:c>
      <x:c r="T254" t="s">
        <x:v>857</x:v>
      </x:c>
      <x:c r="U254" t="s">
        <x:v>1399</x:v>
      </x:c>
    </x:row>
    <x:row r="255">
      <x:c r="A255" s="52">
        <x:v>7589</x:v>
      </x:c>
      <x:c r="B255" t="s">
        <x:v>36</x:v>
      </x:c>
      <x:c r="C255" t="s">
        <x:v>1932</x:v>
      </x:c>
      <x:c r="D255" t="s">
        <x:v>1923</x:v>
      </x:c>
      <x:c r="E255" t="s">
        <x:v>1669</x:v>
      </x:c>
      <x:c r="F255" t="s">
        <x:v>317</x:v>
      </x:c>
      <x:c r="G255" s="52">
        <x:v>35</x:v>
      </x:c>
      <x:c r="H255" s="52">
        <x:v>1247</x:v>
      </x:c>
      <x:c r="I255" s="52">
        <x:v>30</x:v>
      </x:c>
      <x:c r="J255" t="s">
        <x:v>334</x:v>
      </x:c>
      <x:c r="K255" t="s">
        <x:v>1442</x:v>
      </x:c>
      <x:c r="L255" s="52">
        <x:v>4</x:v>
      </x:c>
      <x:c r="M255" s="52">
        <x:v>4</x:v>
      </x:c>
      <x:c r="N255" s="52">
        <x:v>2</x:v>
      </x:c>
      <x:c r="O255" s="52">
        <x:v>2</x:v>
      </x:c>
      <x:c r="P255" s="52">
        <x:v>0</x:v>
      </x:c>
      <x:c r="Q255" t="s">
        <x:v>1481</x:v>
      </x:c>
      <x:c r="R255" s="52">
        <x:v>3052</x:v>
      </x:c>
      <x:c r="T255" t="s">
        <x:v>857</x:v>
      </x:c>
      <x:c r="U255" t="s">
        <x:v>1399</x:v>
      </x:c>
    </x:row>
    <x:row r="256">
      <x:c r="A256" s="52">
        <x:v>2693</x:v>
      </x:c>
      <x:c r="B256" t="s">
        <x:v>237</x:v>
      </x:c>
      <x:c r="C256" t="s">
        <x:v>237</x:v>
      </x:c>
      <x:c r="D256" t="s">
        <x:v>1933</x:v>
      </x:c>
      <x:c r="E256" t="s">
        <x:v>1406</x:v>
      </x:c>
      <x:c r="F256" t="s">
        <x:v>318</x:v>
      </x:c>
      <x:c r="G256" s="52">
        <x:v>60</x:v>
      </x:c>
      <x:c r="H256" s="52">
        <x:v>1335</x:v>
      </x:c>
      <x:c r="I256" s="52">
        <x:v>26</x:v>
      </x:c>
      <x:c r="J256" t="s">
        <x:v>1253</x:v>
      </x:c>
      <x:c r="K256" t="s">
        <x:v>1396</x:v>
      </x:c>
      <x:c r="L256" s="52">
        <x:v>4</x:v>
      </x:c>
      <x:c r="M256" s="52">
        <x:v>2</x:v>
      </x:c>
      <x:c r="N256" s="52">
        <x:v>2</x:v>
      </x:c>
      <x:c r="O256" s="52">
        <x:v>2</x:v>
      </x:c>
      <x:c r="P256" s="52">
        <x:v>0</x:v>
      </x:c>
      <x:c r="Q256" t="s">
        <x:v>1934</x:v>
      </x:c>
      <x:c r="R256" s="52">
        <x:v>3052</x:v>
      </x:c>
      <x:c r="T256" t="s">
        <x:v>1368</x:v>
      </x:c>
      <x:c r="U256" t="s">
        <x:v>1399</x:v>
      </x:c>
    </x:row>
    <x:row r="257">
      <x:c r="A257" s="52">
        <x:v>2710</x:v>
      </x:c>
      <x:c r="B257" t="s">
        <x:v>226</x:v>
      </x:c>
      <x:c r="C257" t="s">
        <x:v>1935</x:v>
      </x:c>
      <x:c r="D257" t="s">
        <x:v>226</x:v>
      </x:c>
      <x:c r="E257" t="s">
        <x:v>1435</x:v>
      </x:c>
      <x:c r="F257" t="s">
        <x:v>318</x:v>
      </x:c>
      <x:c r="G257" s="52">
        <x:v>65</x:v>
      </x:c>
      <x:c r="H257" s="52">
        <x:v>2307</x:v>
      </x:c>
      <x:c r="I257" s="52">
        <x:v>47</x:v>
      </x:c>
      <x:c r="J257" t="s">
        <x:v>1253</x:v>
      </x:c>
      <x:c r="K257" t="s">
        <x:v>1459</x:v>
      </x:c>
      <x:c r="L257" s="52">
        <x:v>7</x:v>
      </x:c>
      <x:c r="M257" s="52">
        <x:v>5</x:v>
      </x:c>
      <x:c r="N257" s="52">
        <x:v>5</x:v>
      </x:c>
      <x:c r="O257" s="52">
        <x:v>5</x:v>
      </x:c>
      <x:c r="P257" s="52">
        <x:v>0</x:v>
      </x:c>
      <x:c r="Q257" t="s">
        <x:v>1485</x:v>
      </x:c>
      <x:c r="R257" s="52">
        <x:v>2845</x:v>
      </x:c>
      <x:c r="T257" t="s">
        <x:v>857</x:v>
      </x:c>
      <x:c r="U257" t="s">
        <x:v>1399</x:v>
      </x:c>
    </x:row>
    <x:row r="258">
      <x:c r="A258" s="52">
        <x:v>2711</x:v>
      </x:c>
      <x:c r="B258" t="s">
        <x:v>230</x:v>
      </x:c>
      <x:c r="C258" t="s">
        <x:v>230</x:v>
      </x:c>
      <x:c r="D258" t="s">
        <x:v>226</x:v>
      </x:c>
      <x:c r="E258">
        <x:v>2</x:v>
      </x:c>
      <x:c r="F258" t="s">
        <x:v>318</x:v>
      </x:c>
      <x:c r="G258" s="52">
        <x:v>65</x:v>
      </x:c>
      <x:c r="H258" s="52">
        <x:v>1345</x:v>
      </x:c>
      <x:c r="I258" s="52">
        <x:v>31</x:v>
      </x:c>
      <x:c r="J258" t="s">
        <x:v>1253</x:v>
      </x:c>
      <x:c r="K258" t="s">
        <x:v>1936</x:v>
      </x:c>
      <x:c r="L258" s="52">
        <x:v>7</x:v>
      </x:c>
      <x:c r="M258" s="52">
        <x:v>1</x:v>
      </x:c>
      <x:c r="N258" s="52">
        <x:v>2</x:v>
      </x:c>
      <x:c r="O258" s="52">
        <x:v>2</x:v>
      </x:c>
      <x:c r="P258" s="52">
        <x:v>0</x:v>
      </x:c>
      <x:c r="Q258" t="s">
        <x:v>1656</x:v>
      </x:c>
      <x:c r="R258" s="52">
        <x:v>2997</x:v>
      </x:c>
      <x:c r="T258" t="s">
        <x:v>857</x:v>
      </x:c>
      <x:c r="U258" t="s">
        <x:v>1399</x:v>
      </x:c>
    </x:row>
    <x:row r="259">
      <x:c r="A259" s="52">
        <x:v>2712</x:v>
      </x:c>
      <x:c r="B259" t="s">
        <x:v>231</x:v>
      </x:c>
      <x:c r="C259" t="s">
        <x:v>231</x:v>
      </x:c>
      <x:c r="D259" t="s">
        <x:v>226</x:v>
      </x:c>
      <x:c r="E259">
        <x:v>3</x:v>
      </x:c>
      <x:c r="F259" t="s">
        <x:v>318</x:v>
      </x:c>
      <x:c r="G259" s="52">
        <x:v>65</x:v>
      </x:c>
      <x:c r="H259" s="52">
        <x:v>1733</x:v>
      </x:c>
      <x:c r="I259" s="52">
        <x:v>40</x:v>
      </x:c>
      <x:c r="J259" t="s">
        <x:v>928</x:v>
      </x:c>
      <x:c r="K259" t="s">
        <x:v>1459</x:v>
      </x:c>
      <x:c r="L259" s="52">
        <x:v>7</x:v>
      </x:c>
      <x:c r="M259" s="52">
        <x:v>4</x:v>
      </x:c>
      <x:c r="N259" s="52">
        <x:v>4</x:v>
      </x:c>
      <x:c r="O259" s="52">
        <x:v>1</x:v>
      </x:c>
      <x:c r="P259" s="52">
        <x:v>0</x:v>
      </x:c>
      <x:c r="Q259" t="s">
        <x:v>1937</x:v>
      </x:c>
      <x:c r="R259" s="52">
        <x:v>3062</x:v>
      </x:c>
      <x:c r="S259" t="s">
        <x:v>1677</x:v>
      </x:c>
      <x:c r="T259" t="s">
        <x:v>857</x:v>
      </x:c>
      <x:c r="U259" t="s">
        <x:v>1399</x:v>
      </x:c>
    </x:row>
    <x:row r="260">
      <x:c r="A260" s="52">
        <x:v>2713</x:v>
      </x:c>
      <x:c r="B260" t="s">
        <x:v>232</x:v>
      </x:c>
      <x:c r="C260" t="s">
        <x:v>232</x:v>
      </x:c>
      <x:c r="D260" t="s">
        <x:v>226</x:v>
      </x:c>
      <x:c r="E260">
        <x:v>4</x:v>
      </x:c>
      <x:c r="F260" t="s">
        <x:v>318</x:v>
      </x:c>
      <x:c r="G260" s="52">
        <x:v>65</x:v>
      </x:c>
      <x:c r="H260" s="52">
        <x:v>2140</x:v>
      </x:c>
      <x:c r="I260" s="52">
        <x:v>45</x:v>
      </x:c>
      <x:c r="J260" t="s">
        <x:v>1253</x:v>
      </x:c>
      <x:c r="K260" t="s">
        <x:v>1459</x:v>
      </x:c>
      <x:c r="L260" s="52">
        <x:v>7</x:v>
      </x:c>
      <x:c r="M260" s="52">
        <x:v>7</x:v>
      </x:c>
      <x:c r="N260" s="52">
        <x:v>5</x:v>
      </x:c>
      <x:c r="O260" s="52">
        <x:v>4</x:v>
      </x:c>
      <x:c r="P260" s="52">
        <x:v>0</x:v>
      </x:c>
      <x:c r="Q260" t="s">
        <x:v>1656</x:v>
      </x:c>
      <x:c r="R260" s="52">
        <x:v>3065</x:v>
      </x:c>
      <x:c r="S260" t="s">
        <x:v>1677</x:v>
      </x:c>
      <x:c r="T260" t="s">
        <x:v>857</x:v>
      </x:c>
      <x:c r="U260" t="s">
        <x:v>1399</x:v>
      </x:c>
    </x:row>
    <x:row r="261">
      <x:c r="A261" s="52">
        <x:v>2714</x:v>
      </x:c>
      <x:c r="B261" t="s">
        <x:v>233</x:v>
      </x:c>
      <x:c r="C261" t="s">
        <x:v>233</x:v>
      </x:c>
      <x:c r="D261" t="s">
        <x:v>226</x:v>
      </x:c>
      <x:c r="E261">
        <x:v>5</x:v>
      </x:c>
      <x:c r="F261" t="s">
        <x:v>318</x:v>
      </x:c>
      <x:c r="G261" s="52">
        <x:v>65</x:v>
      </x:c>
      <x:c r="H261" s="52">
        <x:v>2343</x:v>
      </x:c>
      <x:c r="I261" s="52">
        <x:v>40</x:v>
      </x:c>
      <x:c r="J261" t="s">
        <x:v>1001</x:v>
      </x:c>
      <x:c r="K261" t="s">
        <x:v>1938</x:v>
      </x:c>
      <x:c r="L261" s="52">
        <x:v>7</x:v>
      </x:c>
      <x:c r="M261" s="52">
        <x:v>4</x:v>
      </x:c>
      <x:c r="N261" s="52">
        <x:v>4</x:v>
      </x:c>
      <x:c r="O261" s="52">
        <x:v>3</x:v>
      </x:c>
      <x:c r="P261" s="52">
        <x:v>0</x:v>
      </x:c>
      <x:c r="Q261" t="s">
        <x:v>1939</x:v>
      </x:c>
      <x:c r="R261" s="52">
        <x:v>3069</x:v>
      </x:c>
      <x:c r="S261" t="s">
        <x:v>1677</x:v>
      </x:c>
      <x:c r="T261" t="s">
        <x:v>857</x:v>
      </x:c>
      <x:c r="U261" t="s">
        <x:v>1399</x:v>
      </x:c>
    </x:row>
    <x:row r="262">
      <x:c r="A262" s="52">
        <x:v>2715</x:v>
      </x:c>
      <x:c r="B262" t="s">
        <x:v>234</x:v>
      </x:c>
      <x:c r="C262" t="s">
        <x:v>234</x:v>
      </x:c>
      <x:c r="D262" t="s">
        <x:v>226</x:v>
      </x:c>
      <x:c r="E262">
        <x:v>6</x:v>
      </x:c>
      <x:c r="F262" t="s">
        <x:v>318</x:v>
      </x:c>
      <x:c r="G262" s="52">
        <x:v>65</x:v>
      </x:c>
      <x:c r="H262" s="52">
        <x:v>2251</x:v>
      </x:c>
      <x:c r="I262" s="52">
        <x:v>46</x:v>
      </x:c>
      <x:c r="J262" t="s">
        <x:v>1253</x:v>
      </x:c>
      <x:c r="K262" t="s">
        <x:v>1419</x:v>
      </x:c>
      <x:c r="L262" s="52">
        <x:v>7</x:v>
      </x:c>
      <x:c r="M262" s="52">
        <x:v>5</x:v>
      </x:c>
      <x:c r="N262" s="52">
        <x:v>5</x:v>
      </x:c>
      <x:c r="O262" s="52">
        <x:v>4</x:v>
      </x:c>
      <x:c r="P262" s="52">
        <x:v>0</x:v>
      </x:c>
      <x:c r="Q262" t="s">
        <x:v>1940</x:v>
      </x:c>
      <x:c r="R262" s="52">
        <x:v>3071</x:v>
      </x:c>
      <x:c r="S262" t="s">
        <x:v>1677</x:v>
      </x:c>
      <x:c r="T262" t="s">
        <x:v>857</x:v>
      </x:c>
      <x:c r="U262" t="s">
        <x:v>1399</x:v>
      </x:c>
    </x:row>
    <x:row r="263">
      <x:c r="A263" s="52">
        <x:v>2716</x:v>
      </x:c>
      <x:c r="B263" t="s">
        <x:v>235</x:v>
      </x:c>
      <x:c r="C263" t="s">
        <x:v>235</x:v>
      </x:c>
      <x:c r="D263" t="s">
        <x:v>226</x:v>
      </x:c>
      <x:c r="E263">
        <x:v>7</x:v>
      </x:c>
      <x:c r="F263" t="s">
        <x:v>318</x:v>
      </x:c>
      <x:c r="G263" s="52">
        <x:v>65</x:v>
      </x:c>
      <x:c r="H263" s="52">
        <x:v>2205</x:v>
      </x:c>
      <x:c r="I263" s="52">
        <x:v>37</x:v>
      </x:c>
      <x:c r="J263" t="s">
        <x:v>1001</x:v>
      </x:c>
      <x:c r="K263" t="s">
        <x:v>1938</x:v>
      </x:c>
      <x:c r="L263" s="52">
        <x:v>7</x:v>
      </x:c>
      <x:c r="M263" s="52">
        <x:v>3</x:v>
      </x:c>
      <x:c r="N263" s="52">
        <x:v>3</x:v>
      </x:c>
      <x:c r="O263" s="52">
        <x:v>0</x:v>
      </x:c>
      <x:c r="P263" s="52">
        <x:v>0</x:v>
      </x:c>
      <x:c r="Q263" t="s">
        <x:v>1941</x:v>
      </x:c>
      <x:c r="R263" s="52">
        <x:v>3078</x:v>
      </x:c>
      <x:c r="S263" t="s">
        <x:v>1677</x:v>
      </x:c>
      <x:c r="T263" t="s">
        <x:v>857</x:v>
      </x:c>
      <x:c r="U263" t="s">
        <x:v>1399</x:v>
      </x:c>
    </x:row>
    <x:row r="264">
      <x:c r="A264" s="52">
        <x:v>2717</x:v>
      </x:c>
      <x:c r="B264" t="s">
        <x:v>236</x:v>
      </x:c>
      <x:c r="C264" t="s">
        <x:v>236</x:v>
      </x:c>
      <x:c r="D264" t="s">
        <x:v>226</x:v>
      </x:c>
      <x:c r="E264">
        <x:v>8</x:v>
      </x:c>
      <x:c r="F264" t="s">
        <x:v>318</x:v>
      </x:c>
      <x:c r="G264" s="52">
        <x:v>65</x:v>
      </x:c>
      <x:c r="H264" s="52">
        <x:v>2541</x:v>
      </x:c>
      <x:c r="I264" s="52">
        <x:v>50</x:v>
      </x:c>
      <x:c r="J264" t="s">
        <x:v>1001</x:v>
      </x:c>
      <x:c r="K264" t="s">
        <x:v>1470</x:v>
      </x:c>
      <x:c r="L264" s="52">
        <x:v>7</x:v>
      </x:c>
      <x:c r="M264" s="52">
        <x:v>5</x:v>
      </x:c>
      <x:c r="N264" s="52">
        <x:v>5</x:v>
      </x:c>
      <x:c r="O264" s="52">
        <x:v>2</x:v>
      </x:c>
      <x:c r="P264" s="52">
        <x:v>0</x:v>
      </x:c>
      <x:c r="Q264" t="s">
        <x:v>1942</x:v>
      </x:c>
      <x:c r="R264" s="52">
        <x:v>3078</x:v>
      </x:c>
      <x:c r="S264" t="s">
        <x:v>1677</x:v>
      </x:c>
      <x:c r="T264" t="s">
        <x:v>857</x:v>
      </x:c>
      <x:c r="U264" t="s">
        <x:v>1399</x:v>
      </x:c>
    </x:row>
    <x:row r="265">
      <x:c r="A265" s="52">
        <x:v>2697</x:v>
      </x:c>
      <x:c r="B265" t="s">
        <x:v>412</x:v>
      </x:c>
      <x:c r="C265" t="s">
        <x:v>1943</x:v>
      </x:c>
      <x:c r="D265" t="s">
        <x:v>1933</x:v>
      </x:c>
      <x:c r="E265" t="s">
        <x:v>1944</x:v>
      </x:c>
      <x:c r="F265" t="s">
        <x:v>318</x:v>
      </x:c>
      <x:c r="G265" s="52">
        <x:v>60</x:v>
      </x:c>
      <x:c r="H265" s="52">
        <x:v>1039</x:v>
      </x:c>
      <x:c r="I265" s="52">
        <x:v>26</x:v>
      </x:c>
      <x:c r="J265" t="s">
        <x:v>1253</x:v>
      </x:c>
      <x:c r="K265" t="s">
        <x:v>1396</x:v>
      </x:c>
      <x:c r="L265" s="52">
        <x:v>4</x:v>
      </x:c>
      <x:c r="M265" s="52">
        <x:v>2</x:v>
      </x:c>
      <x:c r="N265" s="52">
        <x:v>2</x:v>
      </x:c>
      <x:c r="O265" s="52">
        <x:v>1</x:v>
      </x:c>
      <x:c r="P265" s="52">
        <x:v>0</x:v>
      </x:c>
      <x:c r="R265" s="52">
        <x:v>2770</x:v>
      </x:c>
      <x:c r="T265" t="s">
        <x:v>1398</x:v>
      </x:c>
      <x:c r="U265" t="s">
        <x:v>1399</x:v>
      </x:c>
    </x:row>
    <x:row r="266">
      <x:c r="A266" s="52">
        <x:v>7597</x:v>
      </x:c>
      <x:c r="B266" t="s">
        <x:v>410</x:v>
      </x:c>
      <x:c r="C266" t="s">
        <x:v>1945</x:v>
      </x:c>
      <x:c r="D266" t="s">
        <x:v>1933</x:v>
      </x:c>
      <x:c r="E266" t="s">
        <x:v>1946</x:v>
      </x:c>
      <x:c r="F266" t="s">
        <x:v>318</x:v>
      </x:c>
      <x:c r="G266" s="52">
        <x:v>60</x:v>
      </x:c>
      <x:c r="H266" s="52">
        <x:v>1303</x:v>
      </x:c>
      <x:c r="I266" s="52">
        <x:v>35</x:v>
      </x:c>
      <x:c r="J266" t="s">
        <x:v>1253</x:v>
      </x:c>
      <x:c r="K266" t="s">
        <x:v>1507</x:v>
      </x:c>
      <x:c r="L266" s="52">
        <x:v>5</x:v>
      </x:c>
      <x:c r="M266" s="52">
        <x:v>3</x:v>
      </x:c>
      <x:c r="N266" s="52">
        <x:v>4</x:v>
      </x:c>
      <x:c r="O266" s="52">
        <x:v>2</x:v>
      </x:c>
      <x:c r="P266" s="52">
        <x:v>0</x:v>
      </x:c>
      <x:c r="R266" s="52">
        <x:v>3052</x:v>
      </x:c>
      <x:c r="T266" t="s">
        <x:v>1398</x:v>
      </x:c>
      <x:c r="U266" t="s">
        <x:v>1399</x:v>
      </x:c>
    </x:row>
    <x:row r="267">
      <x:c r="A267" s="52">
        <x:v>7591</x:v>
      </x:c>
      <x:c r="B267" t="s">
        <x:v>124</x:v>
      </x:c>
      <x:c r="C267" t="s">
        <x:v>1947</x:v>
      </x:c>
      <x:c r="D267" t="s">
        <x:v>1948</x:v>
      </x:c>
      <x:c r="E267" t="s">
        <x:v>1949</x:v>
      </x:c>
      <x:c r="F267" t="s">
        <x:v>319</x:v>
      </x:c>
      <x:c r="G267" s="52">
        <x:v>55</x:v>
      </x:c>
      <x:c r="H267" s="52">
        <x:v>1482</x:v>
      </x:c>
      <x:c r="I267" s="52">
        <x:v>32</x:v>
      </x:c>
      <x:c r="J267" t="s">
        <x:v>1253</x:v>
      </x:c>
      <x:c r="K267" t="s">
        <x:v>1553</x:v>
      </x:c>
      <x:c r="L267" s="52">
        <x:v>6</x:v>
      </x:c>
      <x:c r="M267" s="52">
        <x:v>2</x:v>
      </x:c>
      <x:c r="N267" s="52">
        <x:v>2</x:v>
      </x:c>
      <x:c r="O267" s="52">
        <x:v>2</x:v>
      </x:c>
      <x:c r="P267" s="52">
        <x:v>0</x:v>
      </x:c>
      <x:c r="Q267" t="s">
        <x:v>1838</x:v>
      </x:c>
      <x:c r="R267" s="52">
        <x:v>3050</x:v>
      </x:c>
      <x:c r="T267" t="s">
        <x:v>857</x:v>
      </x:c>
      <x:c r="U267" t="s">
        <x:v>1399</x:v>
      </x:c>
    </x:row>
    <x:row r="268">
      <x:c r="A268" s="52">
        <x:v>2749</x:v>
      </x:c>
      <x:c r="B268" t="s">
        <x:v>100</x:v>
      </x:c>
      <x:c r="C268" t="s">
        <x:v>1950</x:v>
      </x:c>
      <x:c r="D268" t="s">
        <x:v>1948</x:v>
      </x:c>
      <x:c r="E268" t="s">
        <x:v>1469</x:v>
      </x:c>
      <x:c r="F268" t="s">
        <x:v>319</x:v>
      </x:c>
      <x:c r="G268" s="52">
        <x:v>55</x:v>
      </x:c>
      <x:c r="H268" s="52">
        <x:v>2319</x:v>
      </x:c>
      <x:c r="I268" s="52">
        <x:v>45</x:v>
      </x:c>
      <x:c r="J268" t="s">
        <x:v>334</x:v>
      </x:c>
      <x:c r="K268" t="s">
        <x:v>1442</x:v>
      </x:c>
      <x:c r="L268" s="52">
        <x:v>6</x:v>
      </x:c>
      <x:c r="M268" s="52">
        <x:v>5</x:v>
      </x:c>
      <x:c r="N268" s="52">
        <x:v>5</x:v>
      </x:c>
      <x:c r="O268" s="52">
        <x:v>2</x:v>
      </x:c>
      <x:c r="P268" s="52">
        <x:v>0</x:v>
      </x:c>
      <x:c r="Q268" t="s">
        <x:v>1567</x:v>
      </x:c>
      <x:c r="R268" s="52">
        <x:v>2930</x:v>
      </x:c>
      <x:c r="T268" t="s">
        <x:v>857</x:v>
      </x:c>
      <x:c r="U268" t="s">
        <x:v>1399</x:v>
      </x:c>
    </x:row>
    <x:row r="269">
      <x:c r="A269" s="52">
        <x:v>2750</x:v>
      </x:c>
      <x:c r="B269" t="s">
        <x:v>92</x:v>
      </x:c>
      <x:c r="C269" t="s">
        <x:v>1951</x:v>
      </x:c>
      <x:c r="D269" t="s">
        <x:v>1948</x:v>
      </x:c>
      <x:c r="E269" t="s">
        <x:v>1441</x:v>
      </x:c>
      <x:c r="F269" t="s">
        <x:v>319</x:v>
      </x:c>
      <x:c r="G269" s="52">
        <x:v>55</x:v>
      </x:c>
      <x:c r="H269" s="52">
        <x:v>2281</x:v>
      </x:c>
      <x:c r="I269" s="52">
        <x:v>39</x:v>
      </x:c>
      <x:c r="J269" t="s">
        <x:v>334</x:v>
      </x:c>
      <x:c r="K269" t="s">
        <x:v>1442</x:v>
      </x:c>
      <x:c r="L269" s="52">
        <x:v>6</x:v>
      </x:c>
      <x:c r="M269" s="52">
        <x:v>4</x:v>
      </x:c>
      <x:c r="N269" s="52">
        <x:v>4</x:v>
      </x:c>
      <x:c r="O269" s="52">
        <x:v>0</x:v>
      </x:c>
      <x:c r="P269" s="52">
        <x:v>0</x:v>
      </x:c>
      <x:c r="Q269" t="s">
        <x:v>1473</x:v>
      </x:c>
      <x:c r="R269" s="52">
        <x:v>2930</x:v>
      </x:c>
      <x:c r="T269" t="s">
        <x:v>857</x:v>
      </x:c>
      <x:c r="U269" t="s">
        <x:v>1399</x:v>
      </x:c>
    </x:row>
    <x:row r="270">
      <x:c r="A270" s="52">
        <x:v>2751</x:v>
      </x:c>
      <x:c r="B270" t="s">
        <x:v>95</x:v>
      </x:c>
      <x:c r="C270" t="s">
        <x:v>1952</x:v>
      </x:c>
      <x:c r="D270" t="s">
        <x:v>1948</x:v>
      </x:c>
      <x:c r="E270" t="s">
        <x:v>1406</x:v>
      </x:c>
      <x:c r="F270" t="s">
        <x:v>319</x:v>
      </x:c>
      <x:c r="G270" s="52">
        <x:v>55</x:v>
      </x:c>
      <x:c r="H270" s="52">
        <x:v>1881</x:v>
      </x:c>
      <x:c r="I270" s="52">
        <x:v>39</x:v>
      </x:c>
      <x:c r="J270" t="s">
        <x:v>334</x:v>
      </x:c>
      <x:c r="K270" t="s">
        <x:v>1442</x:v>
      </x:c>
      <x:c r="L270" s="52">
        <x:v>6</x:v>
      </x:c>
      <x:c r="M270" s="52">
        <x:v>4</x:v>
      </x:c>
      <x:c r="N270" s="52">
        <x:v>4</x:v>
      </x:c>
      <x:c r="O270" s="52">
        <x:v>2</x:v>
      </x:c>
      <x:c r="P270" s="52">
        <x:v>0</x:v>
      </x:c>
      <x:c r="Q270" t="s">
        <x:v>1757</x:v>
      </x:c>
      <x:c r="R270" s="52">
        <x:v>2930</x:v>
      </x:c>
      <x:c r="T270" t="s">
        <x:v>857</x:v>
      </x:c>
      <x:c r="U270" t="s">
        <x:v>1399</x:v>
      </x:c>
    </x:row>
    <x:row r="271">
      <x:c r="A271" s="52">
        <x:v>2752</x:v>
      </x:c>
      <x:c r="B271" t="s">
        <x:v>112</x:v>
      </x:c>
      <x:c r="C271" t="s">
        <x:v>1953</x:v>
      </x:c>
      <x:c r="D271" t="s">
        <x:v>1948</x:v>
      </x:c>
      <x:c r="E271" t="s">
        <x:v>1476</x:v>
      </x:c>
      <x:c r="F271" t="s">
        <x:v>319</x:v>
      </x:c>
      <x:c r="G271" s="52">
        <x:v>55</x:v>
      </x:c>
      <x:c r="H271" s="52">
        <x:v>1863</x:v>
      </x:c>
      <x:c r="I271" s="52">
        <x:v>39</x:v>
      </x:c>
      <x:c r="J271" t="s">
        <x:v>975</x:v>
      </x:c>
      <x:c r="K271" t="s">
        <x:v>1442</x:v>
      </x:c>
      <x:c r="L271" s="52">
        <x:v>6</x:v>
      </x:c>
      <x:c r="M271" s="52">
        <x:v>3</x:v>
      </x:c>
      <x:c r="N271" s="52">
        <x:v>3</x:v>
      </x:c>
      <x:c r="O271" s="52">
        <x:v>3</x:v>
      </x:c>
      <x:c r="P271" s="52">
        <x:v>0</x:v>
      </x:c>
      <x:c r="Q271" t="s">
        <x:v>1927</x:v>
      </x:c>
      <x:c r="R271" s="52">
        <x:v>2930</x:v>
      </x:c>
      <x:c r="T271" t="s">
        <x:v>857</x:v>
      </x:c>
      <x:c r="U271" t="s">
        <x:v>1399</x:v>
      </x:c>
    </x:row>
    <x:row r="272">
      <x:c r="A272" s="52">
        <x:v>2757</x:v>
      </x:c>
      <x:c r="B272" t="s">
        <x:v>89</x:v>
      </x:c>
      <x:c r="C272" t="s">
        <x:v>1954</x:v>
      </x:c>
      <x:c r="D272" t="s">
        <x:v>1948</x:v>
      </x:c>
      <x:c r="E272" t="s">
        <x:v>1444</x:v>
      </x:c>
      <x:c r="F272" t="s">
        <x:v>319</x:v>
      </x:c>
      <x:c r="G272" s="52">
        <x:v>55</x:v>
      </x:c>
      <x:c r="H272" s="52">
        <x:v>2073</x:v>
      </x:c>
      <x:c r="I272" s="52">
        <x:v>43</x:v>
      </x:c>
      <x:c r="J272" t="s">
        <x:v>334</x:v>
      </x:c>
      <x:c r="K272" t="s">
        <x:v>1442</x:v>
      </x:c>
      <x:c r="L272" s="52">
        <x:v>6</x:v>
      </x:c>
      <x:c r="M272" s="52">
        <x:v>5</x:v>
      </x:c>
      <x:c r="N272" s="52">
        <x:v>5</x:v>
      </x:c>
      <x:c r="O272" s="52">
        <x:v>2</x:v>
      </x:c>
      <x:c r="P272" s="52">
        <x:v>0</x:v>
      </x:c>
      <x:c r="Q272" t="s">
        <x:v>1443</x:v>
      </x:c>
      <x:c r="R272" s="52">
        <x:v>2930</x:v>
      </x:c>
      <x:c r="T272" t="s">
        <x:v>857</x:v>
      </x:c>
      <x:c r="U272" t="s">
        <x:v>1399</x:v>
      </x:c>
    </x:row>
    <x:row r="273">
      <x:c r="A273" s="52">
        <x:v>7592</x:v>
      </x:c>
      <x:c r="B273" t="s">
        <x:v>108</x:v>
      </x:c>
      <x:c r="C273" t="s">
        <x:v>1955</x:v>
      </x:c>
      <x:c r="D273" t="s">
        <x:v>1948</x:v>
      </x:c>
      <x:c r="E273" t="s">
        <x:v>1669</x:v>
      </x:c>
      <x:c r="F273" t="s">
        <x:v>319</x:v>
      </x:c>
      <x:c r="G273" s="52">
        <x:v>55</x:v>
      </x:c>
      <x:c r="H273" s="52">
        <x:v>2373</x:v>
      </x:c>
      <x:c r="I273" s="52">
        <x:v>43</x:v>
      </x:c>
      <x:c r="J273" t="s">
        <x:v>1001</x:v>
      </x:c>
      <x:c r="K273" t="s">
        <x:v>1442</x:v>
      </x:c>
      <x:c r="L273" s="52">
        <x:v>6</x:v>
      </x:c>
      <x:c r="M273" s="52">
        <x:v>5</x:v>
      </x:c>
      <x:c r="N273" s="52">
        <x:v>5</x:v>
      </x:c>
      <x:c r="O273" s="52">
        <x:v>2</x:v>
      </x:c>
      <x:c r="P273" s="52">
        <x:v>0</x:v>
      </x:c>
      <x:c r="Q273" t="s">
        <x:v>1473</x:v>
      </x:c>
      <x:c r="R273" s="52">
        <x:v>3052</x:v>
      </x:c>
      <x:c r="T273" t="s">
        <x:v>857</x:v>
      </x:c>
      <x:c r="U273" t="s">
        <x:v>1399</x:v>
      </x:c>
    </x:row>
    <x:row r="274">
      <x:c r="A274" s="52">
        <x:v>2837</x:v>
      </x:c>
      <x:c r="B274" t="s">
        <x:v>385</x:v>
      </x:c>
      <x:c r="C274" t="s">
        <x:v>1956</x:v>
      </x:c>
      <x:c r="D274" t="s">
        <x:v>1957</x:v>
      </x:c>
      <x:c r="E274" t="s">
        <x:v>1958</x:v>
      </x:c>
      <x:c r="F274" t="s">
        <x:v>319</x:v>
      </x:c>
      <x:c r="G274" s="52">
        <x:v>55</x:v>
      </x:c>
      <x:c r="H274" s="52">
        <x:v>1019</x:v>
      </x:c>
      <x:c r="I274" s="52">
        <x:v>27</x:v>
      </x:c>
      <x:c r="J274" t="s">
        <x:v>1001</x:v>
      </x:c>
      <x:c r="K274" t="s">
        <x:v>1442</x:v>
      </x:c>
      <x:c r="L274" s="52">
        <x:v>4</x:v>
      </x:c>
      <x:c r="M274" s="52">
        <x:v>2</x:v>
      </x:c>
      <x:c r="N274" s="52">
        <x:v>2</x:v>
      </x:c>
      <x:c r="O274" s="52">
        <x:v>1</x:v>
      </x:c>
      <x:c r="P274" s="52">
        <x:v>0</x:v>
      </x:c>
      <x:c r="R274" s="52">
        <x:v>2570</x:v>
      </x:c>
      <x:c r="T274" t="s">
        <x:v>1398</x:v>
      </x:c>
      <x:c r="U274" t="s">
        <x:v>1399</x:v>
      </x:c>
    </x:row>
    <x:row r="275">
      <x:c r="A275" s="52">
        <x:v>2839</x:v>
      </x:c>
      <x:c r="B275" t="s">
        <x:v>383</x:v>
      </x:c>
      <x:c r="C275" t="s">
        <x:v>1959</x:v>
      </x:c>
      <x:c r="D275" t="s">
        <x:v>1957</x:v>
      </x:c>
      <x:c r="E275" t="s">
        <x:v>1960</x:v>
      </x:c>
      <x:c r="F275" t="s">
        <x:v>319</x:v>
      </x:c>
      <x:c r="G275" s="52">
        <x:v>55</x:v>
      </x:c>
      <x:c r="H275" s="52">
        <x:v>1098</x:v>
      </x:c>
      <x:c r="I275" s="52">
        <x:v>27</x:v>
      </x:c>
      <x:c r="J275" t="s">
        <x:v>1001</x:v>
      </x:c>
      <x:c r="K275" t="s">
        <x:v>1442</x:v>
      </x:c>
      <x:c r="L275" s="52">
        <x:v>4</x:v>
      </x:c>
      <x:c r="M275" s="52">
        <x:v>2</x:v>
      </x:c>
      <x:c r="N275" s="52">
        <x:v>2</x:v>
      </x:c>
      <x:c r="O275" s="52">
        <x:v>1</x:v>
      </x:c>
      <x:c r="P275" s="52">
        <x:v>0</x:v>
      </x:c>
      <x:c r="R275" s="52">
        <x:v>3049</x:v>
      </x:c>
      <x:c r="T275" t="s">
        <x:v>1398</x:v>
      </x:c>
      <x:c r="U275" t="s">
        <x:v>1399</x:v>
      </x:c>
    </x:row>
    <x:row r="276">
      <x:c r="A276" s="52">
        <x:v>2860</x:v>
      </x:c>
      <x:c r="B276" t="s">
        <x:v>374</x:v>
      </x:c>
      <x:c r="C276" t="s">
        <x:v>1961</x:v>
      </x:c>
      <x:c r="D276" t="s">
        <x:v>1962</x:v>
      </x:c>
      <x:c r="E276" t="s">
        <x:v>1963</x:v>
      </x:c>
      <x:c r="F276" t="s">
        <x:v>319</x:v>
      </x:c>
      <x:c r="G276" s="52">
        <x:v>40</x:v>
      </x:c>
      <x:c r="H276" s="52">
        <x:v>717</x:v>
      </x:c>
      <x:c r="I276" s="52">
        <x:v>23</x:v>
      </x:c>
      <x:c r="J276" t="s">
        <x:v>334</x:v>
      </x:c>
      <x:c r="K276" t="s">
        <x:v>1442</x:v>
      </x:c>
      <x:c r="L276" s="52">
        <x:v>3</x:v>
      </x:c>
      <x:c r="M276" s="52">
        <x:v>2</x:v>
      </x:c>
      <x:c r="N276" s="52">
        <x:v>2</x:v>
      </x:c>
      <x:c r="O276" s="52">
        <x:v>1</x:v>
      </x:c>
      <x:c r="P276" s="52">
        <x:v>0</x:v>
      </x:c>
      <x:c r="R276" s="52">
        <x:v>2652</x:v>
      </x:c>
      <x:c r="T276" t="s">
        <x:v>1398</x:v>
      </x:c>
      <x:c r="U276" t="s">
        <x:v>1399</x:v>
      </x:c>
    </x:row>
    <x:row r="277">
      <x:c r="A277" s="52">
        <x:v>2887</x:v>
      </x:c>
      <x:c r="B277" t="s">
        <x:v>126</x:v>
      </x:c>
      <x:c r="C277" t="s">
        <x:v>126</x:v>
      </x:c>
      <x:c r="D277" t="s">
        <x:v>1964</x:v>
      </x:c>
      <x:c r="E277" t="s">
        <x:v>1469</x:v>
      </x:c>
      <x:c r="F277" t="s">
        <x:v>319</x:v>
      </x:c>
      <x:c r="G277" s="52">
        <x:v>45</x:v>
      </x:c>
      <x:c r="H277" s="52">
        <x:v>2220</x:v>
      </x:c>
      <x:c r="I277" s="52">
        <x:v>42</x:v>
      </x:c>
      <x:c r="J277" t="s">
        <x:v>1253</x:v>
      </x:c>
      <x:c r="K277" t="s">
        <x:v>1703</x:v>
      </x:c>
      <x:c r="L277" s="52">
        <x:v>4</x:v>
      </x:c>
      <x:c r="M277" s="52">
        <x:v>3</x:v>
      </x:c>
      <x:c r="N277" s="52">
        <x:v>3</x:v>
      </x:c>
      <x:c r="O277" s="52">
        <x:v>2</x:v>
      </x:c>
      <x:c r="P277" s="52">
        <x:v>0</x:v>
      </x:c>
      <x:c r="Q277" t="s">
        <x:v>1776</x:v>
      </x:c>
      <x:c r="R277" s="52">
        <x:v>3003</x:v>
      </x:c>
      <x:c r="T277" t="s">
        <x:v>857</x:v>
      </x:c>
      <x:c r="U277" t="s">
        <x:v>1399</x:v>
      </x:c>
    </x:row>
    <x:row r="278">
      <x:c r="A278" s="52">
        <x:v>2888</x:v>
      </x:c>
      <x:c r="B278" t="s">
        <x:v>113</x:v>
      </x:c>
      <x:c r="C278" t="s">
        <x:v>113</x:v>
      </x:c>
      <x:c r="D278" t="s">
        <x:v>1964</x:v>
      </x:c>
      <x:c r="E278" t="s">
        <x:v>1441</x:v>
      </x:c>
      <x:c r="F278" t="s">
        <x:v>319</x:v>
      </x:c>
      <x:c r="G278" s="52">
        <x:v>45</x:v>
      </x:c>
      <x:c r="H278" s="52">
        <x:v>2420</x:v>
      </x:c>
      <x:c r="I278" s="52">
        <x:v>51</x:v>
      </x:c>
      <x:c r="J278" t="s">
        <x:v>975</x:v>
      </x:c>
      <x:c r="K278" t="s">
        <x:v>1703</x:v>
      </x:c>
      <x:c r="L278" s="52">
        <x:v>4</x:v>
      </x:c>
      <x:c r="M278" s="52">
        <x:v>4</x:v>
      </x:c>
      <x:c r="N278" s="52">
        <x:v>4</x:v>
      </x:c>
      <x:c r="O278" s="52">
        <x:v>3</x:v>
      </x:c>
      <x:c r="P278" s="52">
        <x:v>0</x:v>
      </x:c>
      <x:c r="Q278" t="s">
        <x:v>1965</x:v>
      </x:c>
      <x:c r="R278" s="52">
        <x:v>3003</x:v>
      </x:c>
      <x:c r="T278" t="s">
        <x:v>857</x:v>
      </x:c>
      <x:c r="U278" t="s">
        <x:v>1399</x:v>
      </x:c>
    </x:row>
    <x:row r="279">
      <x:c r="A279" s="52">
        <x:v>2892</x:v>
      </x:c>
      <x:c r="B279" t="s">
        <x:v>104</x:v>
      </x:c>
      <x:c r="C279" t="s">
        <x:v>104</x:v>
      </x:c>
      <x:c r="D279" t="s">
        <x:v>1964</x:v>
      </x:c>
      <x:c r="E279" t="s">
        <x:v>1444</x:v>
      </x:c>
      <x:c r="F279" t="s">
        <x:v>319</x:v>
      </x:c>
      <x:c r="G279" s="52">
        <x:v>45</x:v>
      </x:c>
      <x:c r="H279" s="52">
        <x:v>2156</x:v>
      </x:c>
      <x:c r="I279" s="52">
        <x:v>41</x:v>
      </x:c>
      <x:c r="J279" t="s">
        <x:v>334</x:v>
      </x:c>
      <x:c r="K279" t="s">
        <x:v>1703</x:v>
      </x:c>
      <x:c r="L279" s="52">
        <x:v>4</x:v>
      </x:c>
      <x:c r="M279" s="52">
        <x:v>3</x:v>
      </x:c>
      <x:c r="N279" s="52">
        <x:v>3</x:v>
      </x:c>
      <x:c r="O279" s="52">
        <x:v>2</x:v>
      </x:c>
      <x:c r="P279" s="52">
        <x:v>0</x:v>
      </x:c>
      <x:c r="Q279" t="s">
        <x:v>1776</x:v>
      </x:c>
      <x:c r="R279" s="52">
        <x:v>3003</x:v>
      </x:c>
      <x:c r="T279" t="s">
        <x:v>857</x:v>
      </x:c>
      <x:c r="U279" t="s">
        <x:v>1399</x:v>
      </x:c>
    </x:row>
    <x:row r="280">
      <x:c r="A280" s="52">
        <x:v>7590</x:v>
      </x:c>
      <x:c r="B280" t="s">
        <x:v>133</x:v>
      </x:c>
      <x:c r="C280" t="s">
        <x:v>133</x:v>
      </x:c>
      <x:c r="D280" t="s">
        <x:v>1964</x:v>
      </x:c>
      <x:c r="E280" t="s">
        <x:v>1669</x:v>
      </x:c>
      <x:c r="F280" t="s">
        <x:v>319</x:v>
      </x:c>
      <x:c r="G280" s="52">
        <x:v>45</x:v>
      </x:c>
      <x:c r="H280" s="52">
        <x:v>1378</x:v>
      </x:c>
      <x:c r="I280" s="52">
        <x:v>35</x:v>
      </x:c>
      <x:c r="J280" t="s">
        <x:v>1411</x:v>
      </x:c>
      <x:c r="K280" t="s">
        <x:v>1703</x:v>
      </x:c>
      <x:c r="L280" s="52">
        <x:v>4</x:v>
      </x:c>
      <x:c r="M280" s="52">
        <x:v>2</x:v>
      </x:c>
      <x:c r="N280" s="52">
        <x:v>2</x:v>
      </x:c>
      <x:c r="O280" s="52">
        <x:v>1</x:v>
      </x:c>
      <x:c r="P280" s="52">
        <x:v>0</x:v>
      </x:c>
      <x:c r="Q280" t="s">
        <x:v>1966</x:v>
      </x:c>
      <x:c r="R280" s="52">
        <x:v>3050</x:v>
      </x:c>
      <x:c r="T280" t="s">
        <x:v>857</x:v>
      </x:c>
      <x:c r="U280" t="s">
        <x:v>1399</x:v>
      </x:c>
    </x:row>
    <x:row r="281">
      <x:c r="A281" s="52">
        <x:v>2911</x:v>
      </x:c>
      <x:c r="B281" t="s">
        <x:v>151</x:v>
      </x:c>
      <x:c r="C281" t="s">
        <x:v>1967</x:v>
      </x:c>
      <x:c r="D281" t="s">
        <x:v>151</x:v>
      </x:c>
      <x:c r="E281" t="s">
        <x:v>1435</x:v>
      </x:c>
      <x:c r="F281" t="s">
        <x:v>319</x:v>
      </x:c>
      <x:c r="G281" s="52">
        <x:v>45</x:v>
      </x:c>
      <x:c r="H281" s="52">
        <x:v>1732</x:v>
      </x:c>
      <x:c r="I281" s="52">
        <x:v>37</x:v>
      </x:c>
      <x:c r="J281" t="s">
        <x:v>334</x:v>
      </x:c>
      <x:c r="K281" t="s">
        <x:v>1553</x:v>
      </x:c>
      <x:c r="L281" s="52">
        <x:v>5</x:v>
      </x:c>
      <x:c r="M281" s="52">
        <x:v>4</x:v>
      </x:c>
      <x:c r="N281" s="52">
        <x:v>4</x:v>
      </x:c>
      <x:c r="O281" s="52">
        <x:v>0</x:v>
      </x:c>
      <x:c r="P281" s="52">
        <x:v>0</x:v>
      </x:c>
      <x:c r="Q281" t="s">
        <x:v>1656</x:v>
      </x:c>
      <x:c r="R281" s="52">
        <x:v>2831</x:v>
      </x:c>
      <x:c r="T281" t="s">
        <x:v>857</x:v>
      </x:c>
      <x:c r="U281" t="s">
        <x:v>1399</x:v>
      </x:c>
    </x:row>
    <x:row r="282">
      <x:c r="A282" s="52">
        <x:v>2901</x:v>
      </x:c>
      <x:c r="B282" t="s">
        <x:v>371</x:v>
      </x:c>
      <x:c r="C282" t="s">
        <x:v>1968</x:v>
      </x:c>
      <x:c r="D282" t="s">
        <x:v>1969</x:v>
      </x:c>
      <x:c r="E282" t="s">
        <x:v>1970</x:v>
      </x:c>
      <x:c r="F282" t="s">
        <x:v>319</x:v>
      </x:c>
      <x:c r="G282" s="52">
        <x:v>55</x:v>
      </x:c>
      <x:c r="H282" s="52">
        <x:v>1064</x:v>
      </x:c>
      <x:c r="I282" s="52">
        <x:v>30</x:v>
      </x:c>
      <x:c r="J282" t="s">
        <x:v>1001</x:v>
      </x:c>
      <x:c r="K282" t="s">
        <x:v>1971</x:v>
      </x:c>
      <x:c r="L282" s="52">
        <x:v>5</x:v>
      </x:c>
      <x:c r="M282" s="52">
        <x:v>2</x:v>
      </x:c>
      <x:c r="N282" s="52">
        <x:v>2</x:v>
      </x:c>
      <x:c r="O282" s="52">
        <x:v>1</x:v>
      </x:c>
      <x:c r="P282" s="52">
        <x:v>0</x:v>
      </x:c>
      <x:c r="Q282" t="s">
        <x:v>1972</x:v>
      </x:c>
      <x:c r="R282" s="52">
        <x:v>2550</x:v>
      </x:c>
      <x:c r="T282" t="s">
        <x:v>1398</x:v>
      </x:c>
      <x:c r="U282" t="s">
        <x:v>1399</x:v>
      </x:c>
    </x:row>
    <x:row r="283">
      <x:c r="A283" s="52">
        <x:v>2902</x:v>
      </x:c>
      <x:c r="B283" t="s">
        <x:v>150</x:v>
      </x:c>
      <x:c r="C283" t="s">
        <x:v>1973</x:v>
      </x:c>
      <x:c r="D283" t="s">
        <x:v>1969</x:v>
      </x:c>
      <x:c r="E283" t="s">
        <x:v>1974</x:v>
      </x:c>
      <x:c r="F283" t="s">
        <x:v>319</x:v>
      </x:c>
      <x:c r="G283" s="52">
        <x:v>55</x:v>
      </x:c>
      <x:c r="H283" s="52">
        <x:v>1354</x:v>
      </x:c>
      <x:c r="I283" s="52">
        <x:v>34</x:v>
      </x:c>
      <x:c r="J283" t="s">
        <x:v>1001</x:v>
      </x:c>
      <x:c r="K283" t="s">
        <x:v>1971</x:v>
      </x:c>
      <x:c r="L283" s="52">
        <x:v>5</x:v>
      </x:c>
      <x:c r="M283" s="52">
        <x:v>3</x:v>
      </x:c>
      <x:c r="N283" s="52">
        <x:v>3</x:v>
      </x:c>
      <x:c r="O283" s="52">
        <x:v>1</x:v>
      </x:c>
      <x:c r="P283" s="52">
        <x:v>0</x:v>
      </x:c>
      <x:c r="Q283" t="s">
        <x:v>1975</x:v>
      </x:c>
      <x:c r="R283" s="52">
        <x:v>2752</x:v>
      </x:c>
      <x:c r="T283" t="s">
        <x:v>1398</x:v>
      </x:c>
      <x:c r="U283" t="s">
        <x:v>1399</x:v>
      </x:c>
    </x:row>
    <x:row r="284">
      <x:c r="A284" s="52">
        <x:v>7737</x:v>
      </x:c>
      <x:c r="B284" t="s">
        <x:v>368</x:v>
      </x:c>
      <x:c r="C284" t="s">
        <x:v>1976</x:v>
      </x:c>
      <x:c r="D284" t="s">
        <x:v>1969</x:v>
      </x:c>
      <x:c r="E284" t="s">
        <x:v>1977</x:v>
      </x:c>
      <x:c r="F284" t="s">
        <x:v>319</x:v>
      </x:c>
      <x:c r="G284" s="52">
        <x:v>55</x:v>
      </x:c>
      <x:c r="H284" s="52">
        <x:v>1453</x:v>
      </x:c>
      <x:c r="I284" s="52">
        <x:v>37</x:v>
      </x:c>
      <x:c r="J284" t="s">
        <x:v>1001</x:v>
      </x:c>
      <x:c r="K284" t="s">
        <x:v>1470</x:v>
      </x:c>
      <x:c r="L284" s="52">
        <x:v>5</x:v>
      </x:c>
      <x:c r="M284" s="52">
        <x:v>4</x:v>
      </x:c>
      <x:c r="N284" s="52">
        <x:v>4</x:v>
      </x:c>
      <x:c r="O284" s="52">
        <x:v>0</x:v>
      </x:c>
      <x:c r="P284" s="52">
        <x:v>0</x:v>
      </x:c>
      <x:c r="Q284" t="s">
        <x:v>1656</x:v>
      </x:c>
      <x:c r="R284" s="52">
        <x:v>3052</x:v>
      </x:c>
      <x:c r="T284" t="s">
        <x:v>1398</x:v>
      </x:c>
      <x:c r="U284" t="s">
        <x:v>1399</x:v>
      </x:c>
    </x:row>
    <x:row r="285">
      <x:c r="A285" s="52">
        <x:v>2939</x:v>
      </x:c>
      <x:c r="B285" t="s">
        <x:v>408</x:v>
      </x:c>
      <x:c r="C285" t="s">
        <x:v>1978</x:v>
      </x:c>
      <x:c r="D285" t="s">
        <x:v>1979</x:v>
      </x:c>
      <x:c r="E285" t="s">
        <x:v>1980</x:v>
      </x:c>
      <x:c r="F285" t="s">
        <x:v>318</x:v>
      </x:c>
      <x:c r="G285" s="52">
        <x:v>70</x:v>
      </x:c>
      <x:c r="H285" s="52">
        <x:v>1507</x:v>
      </x:c>
      <x:c r="I285" s="52">
        <x:v>41</x:v>
      </x:c>
      <x:c r="J285" t="s">
        <x:v>947</x:v>
      </x:c>
      <x:c r="K285" t="s">
        <x:v>1396</x:v>
      </x:c>
      <x:c r="L285" s="52">
        <x:v>7</x:v>
      </x:c>
      <x:c r="M285" s="52">
        <x:v>5</x:v>
      </x:c>
      <x:c r="N285" s="52">
        <x:v>5</x:v>
      </x:c>
      <x:c r="O285" s="52">
        <x:v>1</x:v>
      </x:c>
      <x:c r="P285" s="52">
        <x:v>0</x:v>
      </x:c>
      <x:c r="Q285" t="s">
        <x:v>1731</x:v>
      </x:c>
      <x:c r="R285" s="52">
        <x:v>2621</x:v>
      </x:c>
      <x:c r="T285" t="s">
        <x:v>1398</x:v>
      </x:c>
      <x:c r="U285" t="s">
        <x:v>1399</x:v>
      </x:c>
    </x:row>
    <x:row r="286">
      <x:c r="A286" s="52">
        <x:v>2995</x:v>
      </x:c>
      <x:c r="B286" t="s">
        <x:v>438</x:v>
      </x:c>
      <x:c r="C286" t="s">
        <x:v>1981</x:v>
      </x:c>
      <x:c r="D286" t="s">
        <x:v>1982</x:v>
      </x:c>
      <x:c r="E286" t="s">
        <x:v>1983</x:v>
      </x:c>
      <x:c r="F286" t="s">
        <x:v>324</x:v>
      </x:c>
      <x:c r="G286" s="52">
        <x:v>80</x:v>
      </x:c>
      <x:c r="H286" s="52">
        <x:v>1605</x:v>
      </x:c>
      <x:c r="I286" s="52">
        <x:v>43</x:v>
      </x:c>
      <x:c r="J286" t="s">
        <x:v>1001</x:v>
      </x:c>
      <x:c r="K286" t="s">
        <x:v>1507</x:v>
      </x:c>
      <x:c r="L286" s="52">
        <x:v>7</x:v>
      </x:c>
      <x:c r="M286" s="52">
        <x:v>4</x:v>
      </x:c>
      <x:c r="N286" s="52">
        <x:v>4</x:v>
      </x:c>
      <x:c r="O286" s="52">
        <x:v>1</x:v>
      </x:c>
      <x:c r="P286" s="52">
        <x:v>0</x:v>
      </x:c>
      <x:c r="Q286" t="s">
        <x:v>1984</x:v>
      </x:c>
      <x:c r="R286" s="52">
        <x:v>2765</x:v>
      </x:c>
      <x:c r="T286" t="s">
        <x:v>1398</x:v>
      </x:c>
      <x:c r="U286" t="s">
        <x:v>1399</x:v>
      </x:c>
    </x:row>
    <x:row r="287">
      <x:c r="A287" s="52">
        <x:v>3010</x:v>
      </x:c>
      <x:c r="B287" t="s">
        <x:v>343</x:v>
      </x:c>
      <x:c r="C287" t="s">
        <x:v>1985</x:v>
      </x:c>
      <x:c r="D287" t="s">
        <x:v>1986</x:v>
      </x:c>
      <x:c r="E287" t="s">
        <x:v>1987</x:v>
      </x:c>
      <x:c r="F287" t="s">
        <x:v>317</x:v>
      </x:c>
      <x:c r="G287" s="52">
        <x:v>30</x:v>
      </x:c>
      <x:c r="H287" s="52">
        <x:v>622</x:v>
      </x:c>
      <x:c r="I287" s="52">
        <x:v>21</x:v>
      </x:c>
      <x:c r="J287" t="s">
        <x:v>1411</x:v>
      </x:c>
      <x:c r="K287" t="s">
        <x:v>1607</x:v>
      </x:c>
      <x:c r="L287" s="52">
        <x:v>2</x:v>
      </x:c>
      <x:c r="M287" s="52">
        <x:v>1</x:v>
      </x:c>
      <x:c r="N287" s="52">
        <x:v>1</x:v>
      </x:c>
      <x:c r="O287" s="52">
        <x:v>0</x:v>
      </x:c>
      <x:c r="P287" s="52">
        <x:v>0</x:v>
      </x:c>
      <x:c r="Q287" t="s">
        <x:v>1432</x:v>
      </x:c>
      <x:c r="R287" s="52">
        <x:v>2650</x:v>
      </x:c>
      <x:c r="T287" t="s">
        <x:v>1398</x:v>
      </x:c>
      <x:c r="U287" t="s">
        <x:v>1399</x:v>
      </x:c>
    </x:row>
    <x:row r="288">
      <x:c r="A288" s="52">
        <x:v>3035</x:v>
      </x:c>
      <x:c r="B288" t="s">
        <x:v>425</x:v>
      </x:c>
      <x:c r="C288" t="s">
        <x:v>1988</x:v>
      </x:c>
      <x:c r="D288" t="s">
        <x:v>1989</x:v>
      </x:c>
      <x:c r="E288" t="s">
        <x:v>1990</x:v>
      </x:c>
      <x:c r="F288" t="s">
        <x:v>324</x:v>
      </x:c>
      <x:c r="G288" s="52">
        <x:v>85</x:v>
      </x:c>
      <x:c r="H288" s="52">
        <x:v>1559</x:v>
      </x:c>
      <x:c r="I288" s="52">
        <x:v>42</x:v>
      </x:c>
      <x:c r="J288" t="s">
        <x:v>928</x:v>
      </x:c>
      <x:c r="K288" t="s">
        <x:v>1419</x:v>
      </x:c>
      <x:c r="L288" s="52">
        <x:v>7</x:v>
      </x:c>
      <x:c r="M288" s="52">
        <x:v>3</x:v>
      </x:c>
      <x:c r="N288" s="52">
        <x:v>4</x:v>
      </x:c>
      <x:c r="O288" s="52">
        <x:v>2</x:v>
      </x:c>
      <x:c r="P288" s="52">
        <x:v>0</x:v>
      </x:c>
      <x:c r="Q288" t="s">
        <x:v>1575</x:v>
      </x:c>
      <x:c r="R288" s="52">
        <x:v>2594</x:v>
      </x:c>
      <x:c r="T288" t="s">
        <x:v>1398</x:v>
      </x:c>
      <x:c r="U288" t="s">
        <x:v>1399</x:v>
      </x:c>
    </x:row>
    <x:row r="289">
      <x:c r="A289" s="52">
        <x:v>3037</x:v>
      </x:c>
      <x:c r="B289" t="s">
        <x:v>289</x:v>
      </x:c>
      <x:c r="C289" t="s">
        <x:v>1991</x:v>
      </x:c>
      <x:c r="D289" t="s">
        <x:v>1989</x:v>
      </x:c>
      <x:c r="E289" t="s">
        <x:v>1992</x:v>
      </x:c>
      <x:c r="F289" t="s">
        <x:v>324</x:v>
      </x:c>
      <x:c r="G289" s="52">
        <x:v>85</x:v>
      </x:c>
      <x:c r="H289" s="52">
        <x:v>2029</x:v>
      </x:c>
      <x:c r="I289" s="52">
        <x:v>51</x:v>
      </x:c>
      <x:c r="J289" t="s">
        <x:v>928</x:v>
      </x:c>
      <x:c r="K289" t="s">
        <x:v>1419</x:v>
      </x:c>
      <x:c r="L289" s="52">
        <x:v>8</x:v>
      </x:c>
      <x:c r="M289" s="52">
        <x:v>4</x:v>
      </x:c>
      <x:c r="N289" s="52">
        <x:v>5</x:v>
      </x:c>
      <x:c r="O289" s="52">
        <x:v>4</x:v>
      </x:c>
      <x:c r="P289" s="52">
        <x:v>0</x:v>
      </x:c>
      <x:c r="Q289" t="s">
        <x:v>1993</x:v>
      </x:c>
      <x:c r="R289" s="52">
        <x:v>2705</x:v>
      </x:c>
      <x:c r="T289" t="s">
        <x:v>1398</x:v>
      </x:c>
      <x:c r="U289" t="s">
        <x:v>1399</x:v>
      </x:c>
    </x:row>
    <x:row r="290">
      <x:c r="A290" s="52">
        <x:v>3040</x:v>
      </x:c>
      <x:c r="B290" t="s">
        <x:v>439</x:v>
      </x:c>
      <x:c r="C290" t="s">
        <x:v>1994</x:v>
      </x:c>
      <x:c r="D290" t="s">
        <x:v>1989</x:v>
      </x:c>
      <x:c r="E290" t="s">
        <x:v>1995</x:v>
      </x:c>
      <x:c r="F290" t="s">
        <x:v>324</x:v>
      </x:c>
      <x:c r="G290" s="52">
        <x:v>85</x:v>
      </x:c>
      <x:c r="H290" s="52">
        <x:v>1655</x:v>
      </x:c>
      <x:c r="I290" s="52">
        <x:v>49</x:v>
      </x:c>
      <x:c r="J290" t="s">
        <x:v>928</x:v>
      </x:c>
      <x:c r="K290" t="s">
        <x:v>1419</x:v>
      </x:c>
      <x:c r="L290" s="52">
        <x:v>8</x:v>
      </x:c>
      <x:c r="M290" s="52">
        <x:v>5</x:v>
      </x:c>
      <x:c r="N290" s="52">
        <x:v>6</x:v>
      </x:c>
      <x:c r="O290" s="52">
        <x:v>2</x:v>
      </x:c>
      <x:c r="P290" s="52">
        <x:v>0</x:v>
      </x:c>
      <x:c r="Q290" t="s">
        <x:v>1996</x:v>
      </x:c>
      <x:c r="R290" s="52">
        <x:v>3050</x:v>
      </x:c>
      <x:c r="T290" t="s">
        <x:v>1398</x:v>
      </x:c>
      <x:c r="U290" t="s">
        <x:v>1399</x:v>
      </x:c>
    </x:row>
    <x:row r="291">
      <x:c r="A291" s="52">
        <x:v>3059</x:v>
      </x:c>
      <x:c r="B291" t="s">
        <x:v>78</x:v>
      </x:c>
      <x:c r="C291" t="s">
        <x:v>1997</x:v>
      </x:c>
      <x:c r="D291" t="s">
        <x:v>1998</x:v>
      </x:c>
      <x:c r="E291" t="s">
        <x:v>1999</x:v>
      </x:c>
      <x:c r="F291" t="s">
        <x:v>317</x:v>
      </x:c>
      <x:c r="G291" s="52">
        <x:v>20</x:v>
      </x:c>
      <x:c r="H291" s="52">
        <x:v>674</x:v>
      </x:c>
      <x:c r="I291" s="52">
        <x:v>22</x:v>
      </x:c>
      <x:c r="J291" t="s">
        <x:v>334</x:v>
      </x:c>
      <x:c r="K291" t="s">
        <x:v>1412</x:v>
      </x:c>
      <x:c r="L291" s="52">
        <x:v>2</x:v>
      </x:c>
      <x:c r="M291" s="52">
        <x:v>2</x:v>
      </x:c>
      <x:c r="N291" s="52">
        <x:v>2</x:v>
      </x:c>
      <x:c r="O291" s="52">
        <x:v>0</x:v>
      </x:c>
      <x:c r="P291" s="52">
        <x:v>0</x:v>
      </x:c>
      <x:c r="Q291" t="s">
        <x:v>1432</x:v>
      </x:c>
      <x:c r="R291" s="52">
        <x:v>2720</x:v>
      </x:c>
      <x:c r="T291" t="s">
        <x:v>1398</x:v>
      </x:c>
      <x:c r="U291" t="s">
        <x:v>1399</x:v>
      </x:c>
    </x:row>
    <x:row r="292">
      <x:c r="A292" s="52">
        <x:v>3061</x:v>
      </x:c>
      <x:c r="B292" t="s">
        <x:v>351</x:v>
      </x:c>
      <x:c r="C292" t="s">
        <x:v>2000</x:v>
      </x:c>
      <x:c r="D292" t="s">
        <x:v>1998</x:v>
      </x:c>
      <x:c r="E292" t="s">
        <x:v>2001</x:v>
      </x:c>
      <x:c r="F292" t="s">
        <x:v>317</x:v>
      </x:c>
      <x:c r="G292" s="52">
        <x:v>20</x:v>
      </x:c>
      <x:c r="H292" s="52">
        <x:v>359</x:v>
      </x:c>
      <x:c r="I292" s="52">
        <x:v>14</x:v>
      </x:c>
      <x:c r="J292" t="s">
        <x:v>1411</x:v>
      </x:c>
      <x:c r="K292" t="s">
        <x:v>1553</x:v>
      </x:c>
      <x:c r="L292" s="52">
        <x:v>2</x:v>
      </x:c>
      <x:c r="M292" s="52">
        <x:v>1</x:v>
      </x:c>
      <x:c r="N292" s="52">
        <x:v>1</x:v>
      </x:c>
      <x:c r="O292" s="52">
        <x:v>0</x:v>
      </x:c>
      <x:c r="P292" s="52">
        <x:v>0</x:v>
      </x:c>
      <x:c r="R292" s="52">
        <x:v>2479</x:v>
      </x:c>
      <x:c r="T292" t="s">
        <x:v>1398</x:v>
      </x:c>
      <x:c r="U292" t="s">
        <x:v>1399</x:v>
      </x:c>
    </x:row>
    <x:row r="293">
      <x:c r="A293" s="52">
        <x:v>3076</x:v>
      </x:c>
      <x:c r="B293" t="s">
        <x:v>115</x:v>
      </x:c>
      <x:c r="C293" t="s">
        <x:v>115</x:v>
      </x:c>
      <x:c r="D293" t="s">
        <x:v>2002</x:v>
      </x:c>
      <x:c r="E293" t="s">
        <x:v>1469</x:v>
      </x:c>
      <x:c r="F293" t="s">
        <x:v>319</x:v>
      </x:c>
      <x:c r="G293" s="52">
        <x:v>55</x:v>
      </x:c>
      <x:c r="H293" s="52">
        <x:v>2319</x:v>
      </x:c>
      <x:c r="I293" s="52">
        <x:v>38</x:v>
      </x:c>
      <x:c r="J293" t="s">
        <x:v>1253</x:v>
      </x:c>
      <x:c r="K293" t="s">
        <x:v>1470</x:v>
      </x:c>
      <x:c r="L293" s="52">
        <x:v>6</x:v>
      </x:c>
      <x:c r="M293" s="52">
        <x:v>3</x:v>
      </x:c>
      <x:c r="N293" s="52">
        <x:v>3</x:v>
      </x:c>
      <x:c r="O293" s="52">
        <x:v>3</x:v>
      </x:c>
      <x:c r="P293" s="52">
        <x:v>0</x:v>
      </x:c>
      <x:c r="Q293" t="s">
        <x:v>1443</x:v>
      </x:c>
      <x:c r="R293" s="52">
        <x:v>2970</x:v>
      </x:c>
      <x:c r="T293" t="s">
        <x:v>857</x:v>
      </x:c>
      <x:c r="U293" t="s">
        <x:v>1399</x:v>
      </x:c>
    </x:row>
    <x:row r="294">
      <x:c r="A294" s="52">
        <x:v>3077</x:v>
      </x:c>
      <x:c r="B294" t="s">
        <x:v>105</x:v>
      </x:c>
      <x:c r="C294" t="s">
        <x:v>105</x:v>
      </x:c>
      <x:c r="D294" t="s">
        <x:v>2002</x:v>
      </x:c>
      <x:c r="E294" t="s">
        <x:v>1441</x:v>
      </x:c>
      <x:c r="F294" t="s">
        <x:v>319</x:v>
      </x:c>
      <x:c r="G294" s="52">
        <x:v>55</x:v>
      </x:c>
      <x:c r="H294" s="52">
        <x:v>2111</x:v>
      </x:c>
      <x:c r="I294" s="52">
        <x:v>47</x:v>
      </x:c>
      <x:c r="J294" t="s">
        <x:v>975</x:v>
      </x:c>
      <x:c r="K294" t="s">
        <x:v>1507</x:v>
      </x:c>
      <x:c r="L294" s="52">
        <x:v>6</x:v>
      </x:c>
      <x:c r="M294" s="52">
        <x:v>4</x:v>
      </x:c>
      <x:c r="N294" s="52">
        <x:v>4</x:v>
      </x:c>
      <x:c r="O294" s="52">
        <x:v>4</x:v>
      </x:c>
      <x:c r="P294" s="52">
        <x:v>0</x:v>
      </x:c>
      <x:c r="Q294" t="s">
        <x:v>1857</x:v>
      </x:c>
      <x:c r="R294" s="52">
        <x:v>2970</x:v>
      </x:c>
      <x:c r="T294" t="s">
        <x:v>857</x:v>
      </x:c>
      <x:c r="U294" t="s">
        <x:v>1399</x:v>
      </x:c>
    </x:row>
    <x:row r="295">
      <x:c r="A295" s="52">
        <x:v>3083</x:v>
      </x:c>
      <x:c r="B295" t="s">
        <x:v>129</x:v>
      </x:c>
      <x:c r="C295" t="s">
        <x:v>129</x:v>
      </x:c>
      <x:c r="D295" t="s">
        <x:v>2002</x:v>
      </x:c>
      <x:c r="E295" t="s">
        <x:v>1444</x:v>
      </x:c>
      <x:c r="F295" t="s">
        <x:v>319</x:v>
      </x:c>
      <x:c r="G295" s="52">
        <x:v>55</x:v>
      </x:c>
      <x:c r="H295" s="52">
        <x:v>2147</x:v>
      </x:c>
      <x:c r="I295" s="52">
        <x:v>42</x:v>
      </x:c>
      <x:c r="J295" t="s">
        <x:v>1001</x:v>
      </x:c>
      <x:c r="K295" t="s">
        <x:v>1470</x:v>
      </x:c>
      <x:c r="L295" s="52">
        <x:v>6</x:v>
      </x:c>
      <x:c r="M295" s="52">
        <x:v>4</x:v>
      </x:c>
      <x:c r="N295" s="52">
        <x:v>4</x:v>
      </x:c>
      <x:c r="O295" s="52">
        <x:v>2</x:v>
      </x:c>
      <x:c r="P295" s="52">
        <x:v>0</x:v>
      </x:c>
      <x:c r="Q295" t="s">
        <x:v>1473</x:v>
      </x:c>
      <x:c r="R295" s="52">
        <x:v>2970</x:v>
      </x:c>
      <x:c r="T295" t="s">
        <x:v>857</x:v>
      </x:c>
      <x:c r="U295" t="s">
        <x:v>1399</x:v>
      </x:c>
    </x:row>
    <x:row r="296">
      <x:c r="A296" s="52">
        <x:v>3132</x:v>
      </x:c>
      <x:c r="B296" t="s">
        <x:v>299</x:v>
      </x:c>
      <x:c r="C296" t="s">
        <x:v>2003</x:v>
      </x:c>
      <x:c r="D296" t="s">
        <x:v>299</x:v>
      </x:c>
      <x:c r="E296" t="s">
        <x:v>1435</x:v>
      </x:c>
      <x:c r="F296" t="s">
        <x:v>324</x:v>
      </x:c>
      <x:c r="G296" s="52">
        <x:v>90</x:v>
      </x:c>
      <x:c r="H296" s="52">
        <x:v>2801</x:v>
      </x:c>
      <x:c r="I296" s="52">
        <x:v>50</x:v>
      </x:c>
      <x:c r="J296" t="s">
        <x:v>1253</x:v>
      </x:c>
      <x:c r="K296" t="s">
        <x:v>1459</x:v>
      </x:c>
      <x:c r="L296" s="52">
        <x:v>8</x:v>
      </x:c>
      <x:c r="M296" s="52">
        <x:v>5</x:v>
      </x:c>
      <x:c r="N296" s="52">
        <x:v>5</x:v>
      </x:c>
      <x:c r="O296" s="52">
        <x:v>5</x:v>
      </x:c>
      <x:c r="P296" s="52">
        <x:v>0</x:v>
      </x:c>
      <x:c r="Q296" t="s">
        <x:v>2004</x:v>
      </x:c>
      <x:c r="R296" s="52">
        <x:v>2846</x:v>
      </x:c>
      <x:c r="T296" t="s">
        <x:v>857</x:v>
      </x:c>
      <x:c r="U296" t="s">
        <x:v>1399</x:v>
      </x:c>
    </x:row>
    <x:row r="297">
      <x:c r="A297" s="52">
        <x:v>3153</x:v>
      </x:c>
      <x:c r="B297" t="s">
        <x:v>69</x:v>
      </x:c>
      <x:c r="C297" t="s">
        <x:v>2005</x:v>
      </x:c>
      <x:c r="D297" t="s">
        <x:v>1336</x:v>
      </x:c>
      <x:c r="E297" t="s">
        <x:v>2006</x:v>
      </x:c>
      <x:c r="F297" t="s">
        <x:v>317</x:v>
      </x:c>
      <x:c r="G297" s="52">
        <x:v>35</x:v>
      </x:c>
      <x:c r="H297" s="52">
        <x:v>1175</x:v>
      </x:c>
      <x:c r="I297" s="52">
        <x:v>31</x:v>
      </x:c>
      <x:c r="J297" t="s">
        <x:v>334</x:v>
      </x:c>
      <x:c r="K297" t="s">
        <x:v>1549</x:v>
      </x:c>
      <x:c r="L297" s="52">
        <x:v>4</x:v>
      </x:c>
      <x:c r="M297" s="52">
        <x:v>2</x:v>
      </x:c>
      <x:c r="N297" s="52">
        <x:v>2</x:v>
      </x:c>
      <x:c r="O297" s="52">
        <x:v>1</x:v>
      </x:c>
      <x:c r="P297" s="52">
        <x:v>0</x:v>
      </x:c>
      <x:c r="Q297" t="s">
        <x:v>1432</x:v>
      </x:c>
      <x:c r="R297" s="52">
        <x:v>2760</x:v>
      </x:c>
      <x:c r="T297" t="s">
        <x:v>1398</x:v>
      </x:c>
      <x:c r="U297" t="s">
        <x:v>1399</x:v>
      </x:c>
    </x:row>
    <x:row r="298">
      <x:c r="A298" s="52">
        <x:v>3174</x:v>
      </x:c>
      <x:c r="B298" t="s">
        <x:v>194</x:v>
      </x:c>
      <x:c r="C298" t="s">
        <x:v>2007</x:v>
      </x:c>
      <x:c r="D298" t="s">
        <x:v>2008</x:v>
      </x:c>
      <x:c r="E298" t="s">
        <x:v>1469</x:v>
      </x:c>
      <x:c r="F298" t="s">
        <x:v>318</x:v>
      </x:c>
      <x:c r="G298" s="52">
        <x:v>70</x:v>
      </x:c>
      <x:c r="H298" s="52">
        <x:v>2145</x:v>
      </x:c>
      <x:c r="I298" s="52">
        <x:v>40</x:v>
      </x:c>
      <x:c r="J298" t="s">
        <x:v>1253</x:v>
      </x:c>
      <x:c r="K298" t="s">
        <x:v>1470</x:v>
      </x:c>
      <x:c r="L298" s="52">
        <x:v>6</x:v>
      </x:c>
      <x:c r="M298" s="52">
        <x:v>3</x:v>
      </x:c>
      <x:c r="N298" s="52">
        <x:v>4</x:v>
      </x:c>
      <x:c r="O298" s="52">
        <x:v>3</x:v>
      </x:c>
      <x:c r="P298" s="52">
        <x:v>0</x:v>
      </x:c>
      <x:c r="Q298" t="s">
        <x:v>1473</x:v>
      </x:c>
      <x:c r="R298" s="52">
        <x:v>2872</x:v>
      </x:c>
      <x:c r="T298" t="s">
        <x:v>857</x:v>
      </x:c>
      <x:c r="U298" t="s">
        <x:v>1399</x:v>
      </x:c>
    </x:row>
    <x:row r="299">
      <x:c r="A299" s="52">
        <x:v>3175</x:v>
      </x:c>
      <x:c r="B299" t="s">
        <x:v>196</x:v>
      </x:c>
      <x:c r="C299" t="s">
        <x:v>2009</x:v>
      </x:c>
      <x:c r="D299" t="s">
        <x:v>2008</x:v>
      </x:c>
      <x:c r="E299" t="s">
        <x:v>1441</x:v>
      </x:c>
      <x:c r="F299" t="s">
        <x:v>318</x:v>
      </x:c>
      <x:c r="G299" s="52">
        <x:v>70</x:v>
      </x:c>
      <x:c r="H299" s="52">
        <x:v>2159</x:v>
      </x:c>
      <x:c r="I299" s="52">
        <x:v>45</x:v>
      </x:c>
      <x:c r="J299" t="s">
        <x:v>975</x:v>
      </x:c>
      <x:c r="K299" t="s">
        <x:v>1470</x:v>
      </x:c>
      <x:c r="L299" s="52">
        <x:v>6</x:v>
      </x:c>
      <x:c r="M299" s="52">
        <x:v>4</x:v>
      </x:c>
      <x:c r="N299" s="52">
        <x:v>4</x:v>
      </x:c>
      <x:c r="O299" s="52">
        <x:v>3</x:v>
      </x:c>
      <x:c r="P299" s="52">
        <x:v>0</x:v>
      </x:c>
      <x:c r="Q299" t="s">
        <x:v>2010</x:v>
      </x:c>
      <x:c r="R299" s="52">
        <x:v>2872</x:v>
      </x:c>
      <x:c r="T299" t="s">
        <x:v>857</x:v>
      </x:c>
      <x:c r="U299" t="s">
        <x:v>1399</x:v>
      </x:c>
    </x:row>
    <x:row r="300">
      <x:c r="A300" s="52">
        <x:v>3176</x:v>
      </x:c>
      <x:c r="B300" t="s">
        <x:v>180</x:v>
      </x:c>
      <x:c r="C300" t="s">
        <x:v>2011</x:v>
      </x:c>
      <x:c r="D300" t="s">
        <x:v>2008</x:v>
      </x:c>
      <x:c r="E300" t="s">
        <x:v>1406</x:v>
      </x:c>
      <x:c r="F300" t="s">
        <x:v>318</x:v>
      </x:c>
      <x:c r="G300" s="52">
        <x:v>70</x:v>
      </x:c>
      <x:c r="H300" s="52">
        <x:v>2379</x:v>
      </x:c>
      <x:c r="I300" s="52">
        <x:v>43</x:v>
      </x:c>
      <x:c r="J300" t="s">
        <x:v>1001</x:v>
      </x:c>
      <x:c r="K300" t="s">
        <x:v>1470</x:v>
      </x:c>
      <x:c r="L300" s="52">
        <x:v>6</x:v>
      </x:c>
      <x:c r="M300" s="52">
        <x:v>5</x:v>
      </x:c>
      <x:c r="N300" s="52">
        <x:v>5</x:v>
      </x:c>
      <x:c r="O300" s="52">
        <x:v>1</x:v>
      </x:c>
      <x:c r="P300" s="52">
        <x:v>0</x:v>
      </x:c>
      <x:c r="Q300" t="s">
        <x:v>1473</x:v>
      </x:c>
      <x:c r="R300" s="52">
        <x:v>2872</x:v>
      </x:c>
      <x:c r="T300" t="s">
        <x:v>857</x:v>
      </x:c>
      <x:c r="U300" t="s">
        <x:v>1399</x:v>
      </x:c>
    </x:row>
    <x:row r="301">
      <x:c r="A301" s="52">
        <x:v>3177</x:v>
      </x:c>
      <x:c r="B301" t="s">
        <x:v>182</x:v>
      </x:c>
      <x:c r="C301" t="s">
        <x:v>2012</x:v>
      </x:c>
      <x:c r="D301" t="s">
        <x:v>2008</x:v>
      </x:c>
      <x:c r="E301" t="s">
        <x:v>1476</x:v>
      </x:c>
      <x:c r="F301" t="s">
        <x:v>318</x:v>
      </x:c>
      <x:c r="G301" s="52">
        <x:v>70</x:v>
      </x:c>
      <x:c r="H301" s="52">
        <x:v>2643</x:v>
      </x:c>
      <x:c r="I301" s="52">
        <x:v>43</x:v>
      </x:c>
      <x:c r="J301" t="s">
        <x:v>1253</x:v>
      </x:c>
      <x:c r="K301" t="s">
        <x:v>1470</x:v>
      </x:c>
      <x:c r="L301" s="52">
        <x:v>6</x:v>
      </x:c>
      <x:c r="M301" s="52">
        <x:v>5</x:v>
      </x:c>
      <x:c r="N301" s="52">
        <x:v>4</x:v>
      </x:c>
      <x:c r="O301" s="52">
        <x:v>3</x:v>
      </x:c>
      <x:c r="P301" s="52">
        <x:v>0</x:v>
      </x:c>
      <x:c r="Q301" t="s">
        <x:v>1471</x:v>
      </x:c>
      <x:c r="R301" s="52">
        <x:v>2872</x:v>
      </x:c>
      <x:c r="T301" t="s">
        <x:v>857</x:v>
      </x:c>
      <x:c r="U301" t="s">
        <x:v>1399</x:v>
      </x:c>
    </x:row>
    <x:row r="302">
      <x:c r="A302" s="52">
        <x:v>3182</x:v>
      </x:c>
      <x:c r="B302" t="s">
        <x:v>199</x:v>
      </x:c>
      <x:c r="C302" t="s">
        <x:v>2013</x:v>
      </x:c>
      <x:c r="D302" t="s">
        <x:v>2008</x:v>
      </x:c>
      <x:c r="E302" t="s">
        <x:v>1799</x:v>
      </x:c>
      <x:c r="F302" t="s">
        <x:v>318</x:v>
      </x:c>
      <x:c r="G302" s="52">
        <x:v>70</x:v>
      </x:c>
      <x:c r="H302" s="52">
        <x:v>2251</x:v>
      </x:c>
      <x:c r="I302" s="52">
        <x:v>41</x:v>
      </x:c>
      <x:c r="J302" t="s">
        <x:v>1253</x:v>
      </x:c>
      <x:c r="K302" t="s">
        <x:v>1470</x:v>
      </x:c>
      <x:c r="L302" s="52">
        <x:v>6</x:v>
      </x:c>
      <x:c r="M302" s="52">
        <x:v>4</x:v>
      </x:c>
      <x:c r="N302" s="52">
        <x:v>4</x:v>
      </x:c>
      <x:c r="O302" s="52">
        <x:v>3</x:v>
      </x:c>
      <x:c r="P302" s="52">
        <x:v>0</x:v>
      </x:c>
      <x:c r="Q302" t="s">
        <x:v>1757</x:v>
      </x:c>
      <x:c r="R302" s="52">
        <x:v>3051</x:v>
      </x:c>
      <x:c r="T302" t="s">
        <x:v>857</x:v>
      </x:c>
      <x:c r="U302" t="s">
        <x:v>1399</x:v>
      </x:c>
    </x:row>
    <x:row r="303">
      <x:c r="A303" s="52">
        <x:v>3183</x:v>
      </x:c>
      <x:c r="B303" t="s">
        <x:v>190</x:v>
      </x:c>
      <x:c r="C303" t="s">
        <x:v>2014</x:v>
      </x:c>
      <x:c r="D303" t="s">
        <x:v>2008</x:v>
      </x:c>
      <x:c r="E303" t="s">
        <x:v>1444</x:v>
      </x:c>
      <x:c r="F303" t="s">
        <x:v>318</x:v>
      </x:c>
      <x:c r="G303" s="52">
        <x:v>70</x:v>
      </x:c>
      <x:c r="H303" s="52">
        <x:v>2298</x:v>
      </x:c>
      <x:c r="I303" s="52">
        <x:v>43</x:v>
      </x:c>
      <x:c r="J303" t="s">
        <x:v>1253</x:v>
      </x:c>
      <x:c r="K303" t="s">
        <x:v>1470</x:v>
      </x:c>
      <x:c r="L303" s="52">
        <x:v>6</x:v>
      </x:c>
      <x:c r="M303" s="52">
        <x:v>4</x:v>
      </x:c>
      <x:c r="N303" s="52">
        <x:v>4</x:v>
      </x:c>
      <x:c r="O303" s="52">
        <x:v>4</x:v>
      </x:c>
      <x:c r="P303" s="52">
        <x:v>0</x:v>
      </x:c>
      <x:c r="Q303" t="s">
        <x:v>1838</x:v>
      </x:c>
      <x:c r="R303" s="52">
        <x:v>2872</x:v>
      </x:c>
      <x:c r="T303" t="s">
        <x:v>857</x:v>
      </x:c>
      <x:c r="U303" t="s">
        <x:v>1399</x:v>
      </x:c>
    </x:row>
    <x:row r="304">
      <x:c r="A304" s="52">
        <x:v>3191</x:v>
      </x:c>
      <x:c r="B304" t="s">
        <x:v>74</x:v>
      </x:c>
      <x:c r="C304" t="s">
        <x:v>2015</x:v>
      </x:c>
      <x:c r="D304" t="s">
        <x:v>2016</x:v>
      </x:c>
      <x:c r="E304" t="s">
        <x:v>2017</x:v>
      </x:c>
      <x:c r="F304" t="s">
        <x:v>317</x:v>
      </x:c>
      <x:c r="G304" s="52">
        <x:v>20</x:v>
      </x:c>
      <x:c r="H304" s="52">
        <x:v>546</x:v>
      </x:c>
      <x:c r="I304" s="52">
        <x:v>18</x:v>
      </x:c>
      <x:c r="J304" t="s">
        <x:v>334</x:v>
      </x:c>
      <x:c r="K304" t="s">
        <x:v>1442</x:v>
      </x:c>
      <x:c r="L304" s="52">
        <x:v>2</x:v>
      </x:c>
      <x:c r="M304" s="52">
        <x:v>2</x:v>
      </x:c>
      <x:c r="N304" s="52">
        <x:v>2</x:v>
      </x:c>
      <x:c r="O304" s="52">
        <x:v>0</x:v>
      </x:c>
      <x:c r="P304" s="52">
        <x:v>0</x:v>
      </x:c>
      <x:c r="Q304" t="s">
        <x:v>1745</x:v>
      </x:c>
      <x:c r="R304" s="52">
        <x:v>2549</x:v>
      </x:c>
      <x:c r="T304" t="s">
        <x:v>1398</x:v>
      </x:c>
      <x:c r="U304" t="s">
        <x:v>1399</x:v>
      </x:c>
    </x:row>
    <x:row r="305">
      <x:c r="A305" s="52">
        <x:v>3198</x:v>
      </x:c>
      <x:c r="B305" t="s">
        <x:v>246</x:v>
      </x:c>
      <x:c r="C305" t="s">
        <x:v>2018</x:v>
      </x:c>
      <x:c r="D305" t="s">
        <x:v>246</x:v>
      </x:c>
      <x:c r="E305" t="s">
        <x:v>1435</x:v>
      </x:c>
      <x:c r="F305" t="s">
        <x:v>318</x:v>
      </x:c>
      <x:c r="G305" s="52">
        <x:v>60</x:v>
      </x:c>
      <x:c r="H305" s="52">
        <x:v>2314</x:v>
      </x:c>
      <x:c r="I305" s="52">
        <x:v>42</x:v>
      </x:c>
      <x:c r="J305" t="s">
        <x:v>1001</x:v>
      </x:c>
      <x:c r="K305" t="s">
        <x:v>1920</x:v>
      </x:c>
      <x:c r="L305" s="52">
        <x:v>5</x:v>
      </x:c>
      <x:c r="M305" s="52">
        <x:v>5</x:v>
      </x:c>
      <x:c r="N305" s="52">
        <x:v>5</x:v>
      </x:c>
      <x:c r="O305" s="52">
        <x:v>2</x:v>
      </x:c>
      <x:c r="P305" s="52">
        <x:v>0</x:v>
      </x:c>
      <x:c r="Q305" t="s">
        <x:v>1743</x:v>
      </x:c>
      <x:c r="R305" s="52">
        <x:v>2849</x:v>
      </x:c>
      <x:c r="T305" t="s">
        <x:v>857</x:v>
      </x:c>
      <x:c r="U305" t="s">
        <x:v>1399</x:v>
      </x:c>
    </x:row>
    <x:row r="306">
      <x:c r="A306" s="52">
        <x:v>3199</x:v>
      </x:c>
      <x:c r="B306" t="s">
        <x:v>248</x:v>
      </x:c>
      <x:c r="C306" t="s">
        <x:v>248</x:v>
      </x:c>
      <x:c r="D306" t="s">
        <x:v>246</x:v>
      </x:c>
      <x:c r="E306">
        <x:v>2</x:v>
      </x:c>
      <x:c r="F306" t="s">
        <x:v>318</x:v>
      </x:c>
      <x:c r="G306" s="52">
        <x:v>60</x:v>
      </x:c>
      <x:c r="H306" s="52">
        <x:v>2337</x:v>
      </x:c>
      <x:c r="I306" s="52">
        <x:v>39</x:v>
      </x:c>
      <x:c r="J306" t="s">
        <x:v>1001</x:v>
      </x:c>
      <x:c r="K306" t="s">
        <x:v>1920</x:v>
      </x:c>
      <x:c r="L306" s="52">
        <x:v>5</x:v>
      </x:c>
      <x:c r="M306" s="52">
        <x:v>4</x:v>
      </x:c>
      <x:c r="N306" s="52">
        <x:v>4</x:v>
      </x:c>
      <x:c r="O306" s="52">
        <x:v>3</x:v>
      </x:c>
      <x:c r="P306" s="52">
        <x:v>0</x:v>
      </x:c>
      <x:c r="Q306" t="s">
        <x:v>2019</x:v>
      </x:c>
      <x:c r="R306" s="52">
        <x:v>2858</x:v>
      </x:c>
      <x:c r="T306" t="s">
        <x:v>857</x:v>
      </x:c>
      <x:c r="U306" t="s">
        <x:v>1399</x:v>
      </x:c>
    </x:row>
    <x:row r="307">
      <x:c r="A307" s="52">
        <x:v>3205</x:v>
      </x:c>
      <x:c r="B307" t="s">
        <x:v>437</x:v>
      </x:c>
      <x:c r="C307" t="s">
        <x:v>2020</x:v>
      </x:c>
      <x:c r="D307" t="s">
        <x:v>2021</x:v>
      </x:c>
      <x:c r="E307" t="s">
        <x:v>2022</x:v>
      </x:c>
      <x:c r="F307" t="s">
        <x:v>324</x:v>
      </x:c>
      <x:c r="G307" s="52">
        <x:v>80</x:v>
      </x:c>
      <x:c r="H307" s="52">
        <x:v>1640</x:v>
      </x:c>
      <x:c r="I307" s="52">
        <x:v>41</x:v>
      </x:c>
      <x:c r="J307" t="s">
        <x:v>947</x:v>
      </x:c>
      <x:c r="K307" t="s">
        <x:v>1396</x:v>
      </x:c>
      <x:c r="L307" s="52">
        <x:v>8</x:v>
      </x:c>
      <x:c r="M307" s="52">
        <x:v>4</x:v>
      </x:c>
      <x:c r="N307" s="52">
        <x:v>4</x:v>
      </x:c>
      <x:c r="O307" s="52">
        <x:v>2</x:v>
      </x:c>
      <x:c r="P307" s="52">
        <x:v>0</x:v>
      </x:c>
      <x:c r="Q307" t="s">
        <x:v>1743</x:v>
      </x:c>
      <x:c r="R307" s="52">
        <x:v>2572</x:v>
      </x:c>
      <x:c r="T307" t="s">
        <x:v>1398</x:v>
      </x:c>
      <x:c r="U307" t="s">
        <x:v>1399</x:v>
      </x:c>
    </x:row>
    <x:row r="308">
      <x:c r="A308" s="52">
        <x:v>3206</x:v>
      </x:c>
      <x:c r="B308" t="s">
        <x:v>291</x:v>
      </x:c>
      <x:c r="C308" t="s">
        <x:v>2023</x:v>
      </x:c>
      <x:c r="D308" t="s">
        <x:v>2021</x:v>
      </x:c>
      <x:c r="E308" t="s">
        <x:v>2024</x:v>
      </x:c>
      <x:c r="F308" t="s">
        <x:v>324</x:v>
      </x:c>
      <x:c r="G308" s="52">
        <x:v>80</x:v>
      </x:c>
      <x:c r="H308" s="52">
        <x:v>1759</x:v>
      </x:c>
      <x:c r="I308" s="52">
        <x:v>41</x:v>
      </x:c>
      <x:c r="J308" t="s">
        <x:v>947</x:v>
      </x:c>
      <x:c r="K308" t="s">
        <x:v>1396</x:v>
      </x:c>
      <x:c r="L308" s="52">
        <x:v>8</x:v>
      </x:c>
      <x:c r="M308" s="52">
        <x:v>4</x:v>
      </x:c>
      <x:c r="N308" s="52">
        <x:v>4</x:v>
      </x:c>
      <x:c r="O308" s="52">
        <x:v>2</x:v>
      </x:c>
      <x:c r="P308" s="52">
        <x:v>0</x:v>
      </x:c>
      <x:c r="Q308" t="s">
        <x:v>1743</x:v>
      </x:c>
      <x:c r="R308" s="52">
        <x:v>2760</x:v>
      </x:c>
      <x:c r="T308" t="s">
        <x:v>1398</x:v>
      </x:c>
      <x:c r="U308" t="s">
        <x:v>1399</x:v>
      </x:c>
    </x:row>
    <x:row r="309">
      <x:c r="A309" s="52">
        <x:v>3222</x:v>
      </x:c>
      <x:c r="B309" t="s">
        <x:v>443</x:v>
      </x:c>
      <x:c r="C309" t="s">
        <x:v>2025</x:v>
      </x:c>
      <x:c r="D309" t="s">
        <x:v>2026</x:v>
      </x:c>
      <x:c r="E309" t="s">
        <x:v>2027</x:v>
      </x:c>
      <x:c r="F309" t="s">
        <x:v>324</x:v>
      </x:c>
      <x:c r="G309" s="52">
        <x:v>100</x:v>
      </x:c>
      <x:c r="H309" s="52">
        <x:v>2577</x:v>
      </x:c>
      <x:c r="I309" s="52">
        <x:v>51</x:v>
      </x:c>
      <x:c r="J309" t="s">
        <x:v>1253</x:v>
      </x:c>
      <x:c r="K309" t="s">
        <x:v>1419</x:v>
      </x:c>
      <x:c r="L309" s="52">
        <x:v>10</x:v>
      </x:c>
      <x:c r="M309" s="52">
        <x:v>5</x:v>
      </x:c>
      <x:c r="N309" s="52">
        <x:v>5</x:v>
      </x:c>
      <x:c r="O309" s="52">
        <x:v>5</x:v>
      </x:c>
      <x:c r="P309" s="52">
        <x:v>0</x:v>
      </x:c>
      <x:c r="R309" s="52">
        <x:v>2771</x:v>
      </x:c>
      <x:c r="T309" t="s">
        <x:v>1398</x:v>
      </x:c>
      <x:c r="U309" t="s">
        <x:v>1399</x:v>
      </x:c>
    </x:row>
    <x:row r="310">
      <x:c r="A310" s="52">
        <x:v>3231</x:v>
      </x:c>
      <x:c r="B310" t="s">
        <x:v>217</x:v>
      </x:c>
      <x:c r="C310" t="s">
        <x:v>217</x:v>
      </x:c>
      <x:c r="D310" t="s">
        <x:v>2028</x:v>
      </x:c>
      <x:c r="E310" t="s">
        <x:v>1406</x:v>
      </x:c>
      <x:c r="F310" t="s">
        <x:v>318</x:v>
      </x:c>
      <x:c r="G310" s="52">
        <x:v>65</x:v>
      </x:c>
      <x:c r="H310" s="52">
        <x:v>1671</x:v>
      </x:c>
      <x:c r="I310" s="52">
        <x:v>39</x:v>
      </x:c>
      <x:c r="J310" t="s">
        <x:v>1253</x:v>
      </x:c>
      <x:c r="K310" t="s">
        <x:v>1396</x:v>
      </x:c>
      <x:c r="L310" s="52">
        <x:v>7</x:v>
      </x:c>
      <x:c r="M310" s="52">
        <x:v>4</x:v>
      </x:c>
      <x:c r="N310" s="52">
        <x:v>4</x:v>
      </x:c>
      <x:c r="O310" s="52">
        <x:v>3</x:v>
      </x:c>
      <x:c r="P310" s="52">
        <x:v>0</x:v>
      </x:c>
      <x:c r="Q310" t="s">
        <x:v>1432</x:v>
      </x:c>
      <x:c r="R310" s="52">
        <x:v>2832</x:v>
      </x:c>
      <x:c r="T310" t="s">
        <x:v>1368</x:v>
      </x:c>
      <x:c r="U310" t="s">
        <x:v>1399</x:v>
      </x:c>
    </x:row>
    <x:row r="311">
      <x:c r="A311" s="52">
        <x:v>3238</x:v>
      </x:c>
      <x:c r="B311" t="s">
        <x:v>402</x:v>
      </x:c>
      <x:c r="C311" t="s">
        <x:v>2029</x:v>
      </x:c>
      <x:c r="D311" t="s">
        <x:v>2028</x:v>
      </x:c>
      <x:c r="E311" t="s">
        <x:v>2030</x:v>
      </x:c>
      <x:c r="F311" t="s">
        <x:v>318</x:v>
      </x:c>
      <x:c r="G311" s="52">
        <x:v>65</x:v>
      </x:c>
      <x:c r="H311" s="52">
        <x:v>1335</x:v>
      </x:c>
      <x:c r="I311" s="52">
        <x:v>36</x:v>
      </x:c>
      <x:c r="J311" t="s">
        <x:v>947</x:v>
      </x:c>
      <x:c r="K311" t="s">
        <x:v>1396</x:v>
      </x:c>
      <x:c r="L311" s="52">
        <x:v>7</x:v>
      </x:c>
      <x:c r="M311" s="52">
        <x:v>3</x:v>
      </x:c>
      <x:c r="N311" s="52">
        <x:v>3</x:v>
      </x:c>
      <x:c r="O311" s="52">
        <x:v>1</x:v>
      </x:c>
      <x:c r="P311" s="52">
        <x:v>0</x:v>
      </x:c>
      <x:c r="Q311" t="s">
        <x:v>1575</x:v>
      </x:c>
      <x:c r="R311" s="52">
        <x:v>2505</x:v>
      </x:c>
      <x:c r="T311" t="s">
        <x:v>1398</x:v>
      </x:c>
      <x:c r="U311" t="s">
        <x:v>1399</x:v>
      </x:c>
    </x:row>
    <x:row r="312">
      <x:c r="A312" s="52">
        <x:v>3239</x:v>
      </x:c>
      <x:c r="B312" t="s">
        <x:v>228</x:v>
      </x:c>
      <x:c r="C312" t="s">
        <x:v>2031</x:v>
      </x:c>
      <x:c r="D312" t="s">
        <x:v>2028</x:v>
      </x:c>
      <x:c r="E312" t="s">
        <x:v>2032</x:v>
      </x:c>
      <x:c r="F312" t="s">
        <x:v>318</x:v>
      </x:c>
      <x:c r="G312" s="52">
        <x:v>65</x:v>
      </x:c>
      <x:c r="H312" s="52">
        <x:v>1613</x:v>
      </x:c>
      <x:c r="I312" s="52">
        <x:v>41</x:v>
      </x:c>
      <x:c r="J312" t="s">
        <x:v>947</x:v>
      </x:c>
      <x:c r="K312" t="s">
        <x:v>1396</x:v>
      </x:c>
      <x:c r="L312" s="52">
        <x:v>7</x:v>
      </x:c>
      <x:c r="M312" s="52">
        <x:v>4</x:v>
      </x:c>
      <x:c r="N312" s="52">
        <x:v>4</x:v>
      </x:c>
      <x:c r="O312" s="52">
        <x:v>3</x:v>
      </x:c>
      <x:c r="P312" s="52">
        <x:v>0</x:v>
      </x:c>
      <x:c r="Q312" t="s">
        <x:v>1428</x:v>
      </x:c>
      <x:c r="R312" s="52">
        <x:v>2753</x:v>
      </x:c>
      <x:c r="T312" t="s">
        <x:v>1398</x:v>
      </x:c>
      <x:c r="U312" t="s">
        <x:v>1399</x:v>
      </x:c>
    </x:row>
    <x:row r="313">
      <x:c r="A313" s="52">
        <x:v>3244</x:v>
      </x:c>
      <x:c r="B313" t="s">
        <x:v>401</x:v>
      </x:c>
      <x:c r="C313" t="s">
        <x:v>2033</x:v>
      </x:c>
      <x:c r="D313" t="s">
        <x:v>2028</x:v>
      </x:c>
      <x:c r="E313" t="s">
        <x:v>2034</x:v>
      </x:c>
      <x:c r="F313" t="s">
        <x:v>318</x:v>
      </x:c>
      <x:c r="G313" s="52">
        <x:v>65</x:v>
      </x:c>
      <x:c r="H313" s="52">
        <x:v>1495</x:v>
      </x:c>
      <x:c r="I313" s="52">
        <x:v>39</x:v>
      </x:c>
      <x:c r="J313" t="s">
        <x:v>947</x:v>
      </x:c>
      <x:c r="K313" t="s">
        <x:v>1396</x:v>
      </x:c>
      <x:c r="L313" s="52">
        <x:v>7</x:v>
      </x:c>
      <x:c r="M313" s="52">
        <x:v>4</x:v>
      </x:c>
      <x:c r="N313" s="52">
        <x:v>4</x:v>
      </x:c>
      <x:c r="O313" s="52">
        <x:v>2</x:v>
      </x:c>
      <x:c r="P313" s="52">
        <x:v>0</x:v>
      </x:c>
      <x:c r="Q313" t="s">
        <x:v>1428</x:v>
      </x:c>
      <x:c r="R313" s="52">
        <x:v>3049</x:v>
      </x:c>
      <x:c r="T313" t="s">
        <x:v>1398</x:v>
      </x:c>
      <x:c r="U313" t="s">
        <x:v>1399</x:v>
      </x:c>
    </x:row>
    <x:row r="314">
      <x:c r="A314" s="52">
        <x:v>3300</x:v>
      </x:c>
      <x:c r="B314" t="s">
        <x:v>382</x:v>
      </x:c>
      <x:c r="C314" t="s">
        <x:v>2035</x:v>
      </x:c>
      <x:c r="D314" t="s">
        <x:v>2036</x:v>
      </x:c>
      <x:c r="E314" t="s">
        <x:v>2037</x:v>
      </x:c>
      <x:c r="F314" t="s">
        <x:v>319</x:v>
      </x:c>
      <x:c r="G314" s="52">
        <x:v>50</x:v>
      </x:c>
      <x:c r="H314" s="52">
        <x:v>1348</x:v>
      </x:c>
      <x:c r="I314" s="52">
        <x:v>31</x:v>
      </x:c>
      <x:c r="J314" t="s">
        <x:v>975</x:v>
      </x:c>
      <x:c r="K314" t="s">
        <x:v>1470</x:v>
      </x:c>
      <x:c r="L314" s="52">
        <x:v>4</x:v>
      </x:c>
      <x:c r="M314" s="52">
        <x:v>3</x:v>
      </x:c>
      <x:c r="N314" s="52">
        <x:v>3</x:v>
      </x:c>
      <x:c r="O314" s="52">
        <x:v>2</x:v>
      </x:c>
      <x:c r="P314" s="52">
        <x:v>0</x:v>
      </x:c>
      <x:c r="Q314" t="s">
        <x:v>2038</x:v>
      </x:c>
      <x:c r="R314" s="52">
        <x:v>3048</x:v>
      </x:c>
      <x:c r="T314" t="s">
        <x:v>1398</x:v>
      </x:c>
      <x:c r="U314" t="s">
        <x:v>1399</x:v>
      </x:c>
    </x:row>
    <x:row r="315">
      <x:c r="A315" s="52">
        <x:v>3326</x:v>
      </x:c>
      <x:c r="B315" t="s">
        <x:v>277</x:v>
      </x:c>
      <x:c r="C315" t="s">
        <x:v>277</x:v>
      </x:c>
      <x:c r="D315" t="s">
        <x:v>2039</x:v>
      </x:c>
      <x:c r="E315" t="s">
        <x:v>1469</x:v>
      </x:c>
      <x:c r="F315" t="s">
        <x:v>324</x:v>
      </x:c>
      <x:c r="G315" s="52">
        <x:v>95</x:v>
      </x:c>
      <x:c r="H315" s="52">
        <x:v>2906</x:v>
      </x:c>
      <x:c r="I315" s="52">
        <x:v>56</x:v>
      </x:c>
      <x:c r="J315" t="s">
        <x:v>975</x:v>
      </x:c>
      <x:c r="K315" t="s">
        <x:v>1459</x:v>
      </x:c>
      <x:c r="L315" s="52">
        <x:v>10</x:v>
      </x:c>
      <x:c r="M315" s="52">
        <x:v>5</x:v>
      </x:c>
      <x:c r="N315" s="52">
        <x:v>6</x:v>
      </x:c>
      <x:c r="O315" s="52">
        <x:v>6</x:v>
      </x:c>
      <x:c r="P315" s="52">
        <x:v>0</x:v>
      </x:c>
      <x:c r="Q315" t="s">
        <x:v>1494</x:v>
      </x:c>
      <x:c r="R315" s="52">
        <x:v>3052</x:v>
      </x:c>
      <x:c r="T315" t="s">
        <x:v>857</x:v>
      </x:c>
      <x:c r="U315" t="s">
        <x:v>1399</x:v>
      </x:c>
    </x:row>
    <x:row r="316">
      <x:c r="A316" s="52">
        <x:v>3327</x:v>
      </x:c>
      <x:c r="B316" t="s">
        <x:v>256</x:v>
      </x:c>
      <x:c r="C316" t="s">
        <x:v>256</x:v>
      </x:c>
      <x:c r="D316" t="s">
        <x:v>2039</x:v>
      </x:c>
      <x:c r="E316" t="s">
        <x:v>1441</x:v>
      </x:c>
      <x:c r="F316" t="s">
        <x:v>324</x:v>
      </x:c>
      <x:c r="G316" s="52">
        <x:v>95</x:v>
      </x:c>
      <x:c r="H316" s="52">
        <x:v>3420</x:v>
      </x:c>
      <x:c r="I316" s="52">
        <x:v>58</x:v>
      </x:c>
      <x:c r="J316" t="s">
        <x:v>928</x:v>
      </x:c>
      <x:c r="K316" t="s">
        <x:v>1459</x:v>
      </x:c>
      <x:c r="L316" s="52">
        <x:v>10</x:v>
      </x:c>
      <x:c r="M316" s="52">
        <x:v>7</x:v>
      </x:c>
      <x:c r="N316" s="52">
        <x:v>7</x:v>
      </x:c>
      <x:c r="O316" s="52">
        <x:v>5</x:v>
      </x:c>
      <x:c r="P316" s="52">
        <x:v>0</x:v>
      </x:c>
      <x:c r="Q316" t="s">
        <x:v>1443</x:v>
      </x:c>
      <x:c r="R316" s="52">
        <x:v>3052</x:v>
      </x:c>
      <x:c r="T316" t="s">
        <x:v>857</x:v>
      </x:c>
      <x:c r="U316" t="s">
        <x:v>1399</x:v>
      </x:c>
    </x:row>
    <x:row r="317">
      <x:c r="A317" s="52">
        <x:v>3328</x:v>
      </x:c>
      <x:c r="B317" t="s">
        <x:v>263</x:v>
      </x:c>
      <x:c r="C317" t="s">
        <x:v>263</x:v>
      </x:c>
      <x:c r="D317" t="s">
        <x:v>2039</x:v>
      </x:c>
      <x:c r="E317" t="s">
        <x:v>1406</x:v>
      </x:c>
      <x:c r="F317" t="s">
        <x:v>324</x:v>
      </x:c>
      <x:c r="G317" s="52">
        <x:v>95</x:v>
      </x:c>
      <x:c r="H317" s="52">
        <x:v>2798</x:v>
      </x:c>
      <x:c r="I317" s="52">
        <x:v>54</x:v>
      </x:c>
      <x:c r="J317" t="s">
        <x:v>928</x:v>
      </x:c>
      <x:c r="K317" t="s">
        <x:v>1459</x:v>
      </x:c>
      <x:c r="L317" s="52">
        <x:v>10</x:v>
      </x:c>
      <x:c r="M317" s="52">
        <x:v>6</x:v>
      </x:c>
      <x:c r="N317" s="52">
        <x:v>5</x:v>
      </x:c>
      <x:c r="O317" s="52">
        <x:v>3</x:v>
      </x:c>
      <x:c r="P317" s="52">
        <x:v>0</x:v>
      </x:c>
      <x:c r="Q317" t="s">
        <x:v>2040</x:v>
      </x:c>
      <x:c r="R317" s="52">
        <x:v>3052</x:v>
      </x:c>
      <x:c r="T317" t="s">
        <x:v>857</x:v>
      </x:c>
      <x:c r="U317" t="s">
        <x:v>1399</x:v>
      </x:c>
    </x:row>
    <x:row r="318">
      <x:c r="A318" s="52">
        <x:v>3332</x:v>
      </x:c>
      <x:c r="B318" t="s">
        <x:v>276</x:v>
      </x:c>
      <x:c r="C318" t="s">
        <x:v>276</x:v>
      </x:c>
      <x:c r="D318" t="s">
        <x:v>2039</x:v>
      </x:c>
      <x:c r="E318" t="s">
        <x:v>1444</x:v>
      </x:c>
      <x:c r="F318" t="s">
        <x:v>324</x:v>
      </x:c>
      <x:c r="G318" s="52">
        <x:v>95</x:v>
      </x:c>
      <x:c r="H318" s="52">
        <x:v>2944</x:v>
      </x:c>
      <x:c r="I318" s="52">
        <x:v>56</x:v>
      </x:c>
      <x:c r="J318" t="s">
        <x:v>1253</x:v>
      </x:c>
      <x:c r="K318" t="s">
        <x:v>1459</x:v>
      </x:c>
      <x:c r="L318" s="52">
        <x:v>10</x:v>
      </x:c>
      <x:c r="M318" s="52">
        <x:v>5</x:v>
      </x:c>
      <x:c r="N318" s="52">
        <x:v>6</x:v>
      </x:c>
      <x:c r="O318" s="52">
        <x:v>6</x:v>
      </x:c>
      <x:c r="P318" s="52">
        <x:v>0</x:v>
      </x:c>
      <x:c r="Q318" t="s">
        <x:v>2041</x:v>
      </x:c>
      <x:c r="R318" s="52">
        <x:v>3052</x:v>
      </x:c>
      <x:c r="T318" t="s">
        <x:v>857</x:v>
      </x:c>
      <x:c r="U318" t="s">
        <x:v>1399</x:v>
      </x:c>
    </x:row>
    <x:row r="319">
      <x:c r="A319" s="52">
        <x:v>3340</x:v>
      </x:c>
      <x:c r="B319" t="s">
        <x:v>47</x:v>
      </x:c>
      <x:c r="C319" t="s">
        <x:v>2042</x:v>
      </x:c>
      <x:c r="D319" t="s">
        <x:v>2043</x:v>
      </x:c>
      <x:c r="E319" t="s">
        <x:v>1469</x:v>
      </x:c>
      <x:c r="F319" t="s">
        <x:v>317</x:v>
      </x:c>
      <x:c r="G319" s="52">
        <x:v>30</x:v>
      </x:c>
      <x:c r="H319" s="52">
        <x:v>1310</x:v>
      </x:c>
      <x:c r="I319" s="52">
        <x:v>26</x:v>
      </x:c>
      <x:c r="J319" t="s">
        <x:v>1253</x:v>
      </x:c>
      <x:c r="K319" t="s">
        <x:v>1442</x:v>
      </x:c>
      <x:c r="L319" s="52">
        <x:v>3</x:v>
      </x:c>
      <x:c r="M319" s="52">
        <x:v>3</x:v>
      </x:c>
      <x:c r="N319" s="52">
        <x:v>3</x:v>
      </x:c>
      <x:c r="O319" s="52">
        <x:v>2</x:v>
      </x:c>
      <x:c r="P319" s="52">
        <x:v>0</x:v>
      </x:c>
      <x:c r="Q319" t="s">
        <x:v>1473</x:v>
      </x:c>
      <x:c r="R319" s="52">
        <x:v>2890</x:v>
      </x:c>
      <x:c r="T319" t="s">
        <x:v>857</x:v>
      </x:c>
      <x:c r="U319" t="s">
        <x:v>1399</x:v>
      </x:c>
    </x:row>
    <x:row r="320">
      <x:c r="A320" s="52">
        <x:v>3341</x:v>
      </x:c>
      <x:c r="B320" t="s">
        <x:v>55</x:v>
      </x:c>
      <x:c r="C320" t="s">
        <x:v>2044</x:v>
      </x:c>
      <x:c r="D320" t="s">
        <x:v>2043</x:v>
      </x:c>
      <x:c r="E320" t="s">
        <x:v>1441</x:v>
      </x:c>
      <x:c r="F320" t="s">
        <x:v>317</x:v>
      </x:c>
      <x:c r="G320" s="52">
        <x:v>30</x:v>
      </x:c>
      <x:c r="H320" s="52">
        <x:v>1087</x:v>
      </x:c>
      <x:c r="I320" s="52">
        <x:v>30</x:v>
      </x:c>
      <x:c r="J320" t="s">
        <x:v>334</x:v>
      </x:c>
      <x:c r="K320" t="s">
        <x:v>1442</x:v>
      </x:c>
      <x:c r="L320" s="52">
        <x:v>3</x:v>
      </x:c>
      <x:c r="M320" s="52">
        <x:v>4</x:v>
      </x:c>
      <x:c r="N320" s="52">
        <x:v>4</x:v>
      </x:c>
      <x:c r="O320" s="52">
        <x:v>2</x:v>
      </x:c>
      <x:c r="P320" s="52">
        <x:v>0</x:v>
      </x:c>
      <x:c r="Q320" t="s">
        <x:v>1473</x:v>
      </x:c>
      <x:c r="R320" s="52">
        <x:v>2890</x:v>
      </x:c>
      <x:c r="T320" t="s">
        <x:v>857</x:v>
      </x:c>
      <x:c r="U320" t="s">
        <x:v>1399</x:v>
      </x:c>
    </x:row>
    <x:row r="321">
      <x:c r="A321" s="52">
        <x:v>3342</x:v>
      </x:c>
      <x:c r="B321" t="s">
        <x:v>42</x:v>
      </x:c>
      <x:c r="C321" t="s">
        <x:v>2045</x:v>
      </x:c>
      <x:c r="D321" t="s">
        <x:v>2043</x:v>
      </x:c>
      <x:c r="E321" t="s">
        <x:v>1406</x:v>
      </x:c>
      <x:c r="F321" t="s">
        <x:v>317</x:v>
      </x:c>
      <x:c r="G321" s="52">
        <x:v>30</x:v>
      </x:c>
      <x:c r="H321" s="52">
        <x:v>1147</x:v>
      </x:c>
      <x:c r="I321" s="52">
        <x:v>27</x:v>
      </x:c>
      <x:c r="J321" t="s">
        <x:v>334</x:v>
      </x:c>
      <x:c r="K321" t="s">
        <x:v>1442</x:v>
      </x:c>
      <x:c r="L321" s="52">
        <x:v>3</x:v>
      </x:c>
      <x:c r="M321" s="52">
        <x:v>2</x:v>
      </x:c>
      <x:c r="N321" s="52">
        <x:v>2</x:v>
      </x:c>
      <x:c r="O321" s="52">
        <x:v>1</x:v>
      </x:c>
      <x:c r="P321" s="52">
        <x:v>0</x:v>
      </x:c>
      <x:c r="Q321" t="s">
        <x:v>2046</x:v>
      </x:c>
      <x:c r="R321" s="52">
        <x:v>3050</x:v>
      </x:c>
      <x:c r="T321" t="s">
        <x:v>857</x:v>
      </x:c>
      <x:c r="U321" t="s">
        <x:v>1399</x:v>
      </x:c>
    </x:row>
    <x:row r="322">
      <x:c r="A322" s="52">
        <x:v>3343</x:v>
      </x:c>
      <x:c r="B322" t="s">
        <x:v>41</x:v>
      </x:c>
      <x:c r="C322" t="s">
        <x:v>2047</x:v>
      </x:c>
      <x:c r="D322" t="s">
        <x:v>2043</x:v>
      </x:c>
      <x:c r="E322" t="s">
        <x:v>1476</x:v>
      </x:c>
      <x:c r="F322" t="s">
        <x:v>317</x:v>
      </x:c>
      <x:c r="G322" s="52">
        <x:v>30</x:v>
      </x:c>
      <x:c r="H322" s="52">
        <x:v>1142</x:v>
      </x:c>
      <x:c r="I322" s="52">
        <x:v>30</x:v>
      </x:c>
      <x:c r="J322" t="s">
        <x:v>975</x:v>
      </x:c>
      <x:c r="K322" t="s">
        <x:v>1442</x:v>
      </x:c>
      <x:c r="L322" s="52">
        <x:v>3</x:v>
      </x:c>
      <x:c r="M322" s="52">
        <x:v>3</x:v>
      </x:c>
      <x:c r="N322" s="52">
        <x:v>3</x:v>
      </x:c>
      <x:c r="O322" s="52">
        <x:v>3</x:v>
      </x:c>
      <x:c r="P322" s="52">
        <x:v>0</x:v>
      </x:c>
      <x:c r="Q322" t="s">
        <x:v>1927</x:v>
      </x:c>
      <x:c r="R322" s="52">
        <x:v>2890</x:v>
      </x:c>
      <x:c r="T322" t="s">
        <x:v>857</x:v>
      </x:c>
      <x:c r="U322" t="s">
        <x:v>1399</x:v>
      </x:c>
    </x:row>
    <x:row r="323">
      <x:c r="A323" s="52">
        <x:v>3347</x:v>
      </x:c>
      <x:c r="B323" t="s">
        <x:v>34</x:v>
      </x:c>
      <x:c r="C323" t="s">
        <x:v>2048</x:v>
      </x:c>
      <x:c r="D323" t="s">
        <x:v>2043</x:v>
      </x:c>
      <x:c r="E323" t="s">
        <x:v>1444</x:v>
      </x:c>
      <x:c r="F323" t="s">
        <x:v>317</x:v>
      </x:c>
      <x:c r="G323" s="52">
        <x:v>30</x:v>
      </x:c>
      <x:c r="H323" s="52">
        <x:v>1085</x:v>
      </x:c>
      <x:c r="I323" s="52">
        <x:v>26</x:v>
      </x:c>
      <x:c r="J323" t="s">
        <x:v>1253</x:v>
      </x:c>
      <x:c r="K323" t="s">
        <x:v>1442</x:v>
      </x:c>
      <x:c r="L323" s="52">
        <x:v>3</x:v>
      </x:c>
      <x:c r="M323" s="52">
        <x:v>3</x:v>
      </x:c>
      <x:c r="N323" s="52">
        <x:v>3</x:v>
      </x:c>
      <x:c r="O323" s="52">
        <x:v>2</x:v>
      </x:c>
      <x:c r="P323" s="52">
        <x:v>0</x:v>
      </x:c>
      <x:c r="Q323" t="s">
        <x:v>1796</x:v>
      </x:c>
      <x:c r="R323" s="52">
        <x:v>2890</x:v>
      </x:c>
      <x:c r="T323" t="s">
        <x:v>857</x:v>
      </x:c>
      <x:c r="U323" t="s">
        <x:v>1399</x:v>
      </x:c>
    </x:row>
    <x:row r="324">
      <x:c r="A324" s="52">
        <x:v>3348</x:v>
      </x:c>
      <x:c r="B324" t="s">
        <x:v>27</x:v>
      </x:c>
      <x:c r="C324" t="s">
        <x:v>2049</x:v>
      </x:c>
      <x:c r="D324" t="s">
        <x:v>2043</x:v>
      </x:c>
      <x:c r="E324" t="s">
        <x:v>1480</x:v>
      </x:c>
      <x:c r="F324" t="s">
        <x:v>317</x:v>
      </x:c>
      <x:c r="G324" s="52">
        <x:v>30</x:v>
      </x:c>
      <x:c r="H324" s="52">
        <x:v>1342</x:v>
      </x:c>
      <x:c r="I324" s="52">
        <x:v>27</x:v>
      </x:c>
      <x:c r="J324" t="s">
        <x:v>334</x:v>
      </x:c>
      <x:c r="K324" t="s">
        <x:v>1553</x:v>
      </x:c>
      <x:c r="L324" s="52">
        <x:v>3</x:v>
      </x:c>
      <x:c r="M324" s="52">
        <x:v>4</x:v>
      </x:c>
      <x:c r="N324" s="52">
        <x:v>3</x:v>
      </x:c>
      <x:c r="O324" s="52">
        <x:v>2</x:v>
      </x:c>
      <x:c r="P324" s="52">
        <x:v>0</x:v>
      </x:c>
      <x:c r="Q324" t="s">
        <x:v>1473</x:v>
      </x:c>
      <x:c r="R324" s="52">
        <x:v>3050</x:v>
      </x:c>
      <x:c r="T324" t="s">
        <x:v>857</x:v>
      </x:c>
      <x:c r="U324" t="s">
        <x:v>1399</x:v>
      </x:c>
    </x:row>
    <x:row r="325">
      <x:c r="A325" s="52">
        <x:v>3356</x:v>
      </x:c>
      <x:c r="B325" t="s">
        <x:v>349</x:v>
      </x:c>
      <x:c r="C325" t="s">
        <x:v>2050</x:v>
      </x:c>
      <x:c r="D325" t="s">
        <x:v>2051</x:v>
      </x:c>
      <x:c r="E325" t="s">
        <x:v>2052</x:v>
      </x:c>
      <x:c r="F325" t="s">
        <x:v>317</x:v>
      </x:c>
      <x:c r="G325" s="52">
        <x:v>30</x:v>
      </x:c>
      <x:c r="H325" s="52">
        <x:v>540</x:v>
      </x:c>
      <x:c r="I325" s="52">
        <x:v>16</x:v>
      </x:c>
      <x:c r="J325" t="s">
        <x:v>1253</x:v>
      </x:c>
      <x:c r="K325" t="s">
        <x:v>2053</x:v>
      </x:c>
      <x:c r="L325" s="52">
        <x:v>3</x:v>
      </x:c>
      <x:c r="M325" s="52">
        <x:v>2</x:v>
      </x:c>
      <x:c r="N325" s="52">
        <x:v>1</x:v>
      </x:c>
      <x:c r="O325" s="52">
        <x:v>1</x:v>
      </x:c>
      <x:c r="P325" s="52">
        <x:v>0</x:v>
      </x:c>
      <x:c r="Q325" t="s">
        <x:v>1540</x:v>
      </x:c>
      <x:c r="R325" s="52">
        <x:v>3050</x:v>
      </x:c>
      <x:c r="T325" t="s">
        <x:v>1398</x:v>
      </x:c>
      <x:c r="U325" t="s">
        <x:v>1399</x:v>
      </x:c>
    </x:row>
    <x:row r="326">
      <x:c r="A326" s="52">
        <x:v>3398</x:v>
      </x:c>
      <x:c r="B326" t="s">
        <x:v>341</x:v>
      </x:c>
      <x:c r="C326" t="s">
        <x:v>2054</x:v>
      </x:c>
      <x:c r="D326" t="s">
        <x:v>2055</x:v>
      </x:c>
      <x:c r="E326" t="s">
        <x:v>2056</x:v>
      </x:c>
      <x:c r="F326" t="s">
        <x:v>317</x:v>
      </x:c>
      <x:c r="G326" s="52">
        <x:v>35</x:v>
      </x:c>
      <x:c r="H326" s="52">
        <x:v>798</x:v>
      </x:c>
      <x:c r="I326" s="52">
        <x:v>25</x:v>
      </x:c>
      <x:c r="J326" t="s">
        <x:v>334</x:v>
      </x:c>
      <x:c r="K326" t="s">
        <x:v>1607</x:v>
      </x:c>
      <x:c r="L326" s="52">
        <x:v>2</x:v>
      </x:c>
      <x:c r="M326" s="52">
        <x:v>2</x:v>
      </x:c>
      <x:c r="N326" s="52">
        <x:v>2</x:v>
      </x:c>
      <x:c r="O326" s="52">
        <x:v>0</x:v>
      </x:c>
      <x:c r="P326" s="52">
        <x:v>0</x:v>
      </x:c>
      <x:c r="Q326" t="s">
        <x:v>1432</x:v>
      </x:c>
      <x:c r="R326" s="52">
        <x:v>3050</x:v>
      </x:c>
      <x:c r="T326" t="s">
        <x:v>1398</x:v>
      </x:c>
      <x:c r="U326" t="s">
        <x:v>1399</x:v>
      </x:c>
    </x:row>
    <x:row r="327">
      <x:c r="A327" s="52">
        <x:v>3403</x:v>
      </x:c>
      <x:c r="B327" t="s">
        <x:v>302</x:v>
      </x:c>
      <x:c r="C327" t="s">
        <x:v>302</x:v>
      </x:c>
      <x:c r="D327" t="s">
        <x:v>2057</x:v>
      </x:c>
      <x:c r="E327" t="s">
        <x:v>1406</x:v>
      </x:c>
      <x:c r="F327" t="s">
        <x:v>324</x:v>
      </x:c>
      <x:c r="G327" s="52">
        <x:v>80</x:v>
      </x:c>
      <x:c r="H327" s="52">
        <x:v>1950</x:v>
      </x:c>
      <x:c r="I327" s="52">
        <x:v>37</x:v>
      </x:c>
      <x:c r="J327" t="s">
        <x:v>1001</x:v>
      </x:c>
      <x:c r="K327" t="s">
        <x:v>1500</x:v>
      </x:c>
      <x:c r="L327" s="52">
        <x:v>6</x:v>
      </x:c>
      <x:c r="M327" s="52">
        <x:v>4</x:v>
      </x:c>
      <x:c r="N327" s="52">
        <x:v>4</x:v>
      </x:c>
      <x:c r="O327" s="52">
        <x:v>2</x:v>
      </x:c>
      <x:c r="P327" s="52">
        <x:v>0</x:v>
      </x:c>
      <x:c r="R327" s="52">
        <x:v>3050</x:v>
      </x:c>
      <x:c r="T327" t="s">
        <x:v>1368</x:v>
      </x:c>
      <x:c r="U327" t="s">
        <x:v>1399</x:v>
      </x:c>
    </x:row>
    <x:row r="328">
      <x:c r="A328" s="52">
        <x:v>3409</x:v>
      </x:c>
      <x:c r="B328" t="s">
        <x:v>434</x:v>
      </x:c>
      <x:c r="C328" t="s">
        <x:v>2058</x:v>
      </x:c>
      <x:c r="D328" t="s">
        <x:v>2057</x:v>
      </x:c>
      <x:c r="E328" t="s">
        <x:v>2059</x:v>
      </x:c>
      <x:c r="F328" t="s">
        <x:v>324</x:v>
      </x:c>
      <x:c r="G328" s="52">
        <x:v>80</x:v>
      </x:c>
      <x:c r="H328" s="52">
        <x:v>1378</x:v>
      </x:c>
      <x:c r="I328" s="52">
        <x:v>36</x:v>
      </x:c>
      <x:c r="J328" t="s">
        <x:v>1001</x:v>
      </x:c>
      <x:c r="K328" t="s">
        <x:v>1500</x:v>
      </x:c>
      <x:c r="L328" s="52">
        <x:v>6</x:v>
      </x:c>
      <x:c r="M328" s="52">
        <x:v>4</x:v>
      </x:c>
      <x:c r="N328" s="52">
        <x:v>4</x:v>
      </x:c>
      <x:c r="O328" s="52">
        <x:v>0</x:v>
      </x:c>
      <x:c r="P328" s="52">
        <x:v>0</x:v>
      </x:c>
      <x:c r="Q328" t="s">
        <x:v>1728</x:v>
      </x:c>
      <x:c r="R328" s="52">
        <x:v>2510</x:v>
      </x:c>
      <x:c r="T328" t="s">
        <x:v>1398</x:v>
      </x:c>
      <x:c r="U328" t="s">
        <x:v>1399</x:v>
      </x:c>
    </x:row>
    <x:row r="329">
      <x:c r="A329" s="52">
        <x:v>3432</x:v>
      </x:c>
      <x:c r="B329" t="s">
        <x:v>244</x:v>
      </x:c>
      <x:c r="C329" t="s">
        <x:v>2060</x:v>
      </x:c>
      <x:c r="D329" t="s">
        <x:v>2061</x:v>
      </x:c>
      <x:c r="E329" t="s">
        <x:v>1435</x:v>
      </x:c>
      <x:c r="F329" t="s">
        <x:v>318</x:v>
      </x:c>
      <x:c r="G329" s="52">
        <x:v>75</x:v>
      </x:c>
      <x:c r="H329" s="52">
        <x:v>2813</x:v>
      </x:c>
      <x:c r="I329" s="52">
        <x:v>45</x:v>
      </x:c>
      <x:c r="J329" t="s">
        <x:v>1001</x:v>
      </x:c>
      <x:c r="K329" t="s">
        <x:v>1470</x:v>
      </x:c>
      <x:c r="L329" s="52">
        <x:v>7</x:v>
      </x:c>
      <x:c r="M329" s="52">
        <x:v>4</x:v>
      </x:c>
      <x:c r="N329" s="52">
        <x:v>4</x:v>
      </x:c>
      <x:c r="O329" s="52">
        <x:v>3</x:v>
      </x:c>
      <x:c r="P329" s="52">
        <x:v>0</x:v>
      </x:c>
      <x:c r="Q329" t="s">
        <x:v>1656</x:v>
      </x:c>
      <x:c r="R329" s="52">
        <x:v>3051</x:v>
      </x:c>
      <x:c r="T329" t="s">
        <x:v>857</x:v>
      </x:c>
      <x:c r="U329" t="s">
        <x:v>1399</x:v>
      </x:c>
    </x:row>
    <x:row r="330">
      <x:c r="A330" s="52">
        <x:v>3441</x:v>
      </x:c>
      <x:c r="B330" t="s">
        <x:v>63</x:v>
      </x:c>
      <x:c r="C330" t="s">
        <x:v>2062</x:v>
      </x:c>
      <x:c r="D330" t="s">
        <x:v>2063</x:v>
      </x:c>
      <x:c r="E330" t="s">
        <x:v>1435</x:v>
      </x:c>
      <x:c r="F330" t="s">
        <x:v>317</x:v>
      </x:c>
      <x:c r="G330" s="52">
        <x:v>30</x:v>
      </x:c>
      <x:c r="H330" s="52">
        <x:v>1596</x:v>
      </x:c>
      <x:c r="I330" s="52">
        <x:v>38</x:v>
      </x:c>
      <x:c r="J330" t="s">
        <x:v>334</x:v>
      </x:c>
      <x:c r="K330" t="s">
        <x:v>1492</x:v>
      </x:c>
      <x:c r="L330" s="52">
        <x:v>4</x:v>
      </x:c>
      <x:c r="M330" s="52">
        <x:v>4</x:v>
      </x:c>
      <x:c r="N330" s="52">
        <x:v>3</x:v>
      </x:c>
      <x:c r="O330" s="52">
        <x:v>2</x:v>
      </x:c>
      <x:c r="P330" s="52">
        <x:v>0</x:v>
      </x:c>
      <x:c r="Q330" t="s">
        <x:v>1656</x:v>
      </x:c>
      <x:c r="R330" s="52">
        <x:v>2954</x:v>
      </x:c>
      <x:c r="T330" t="s">
        <x:v>857</x:v>
      </x:c>
      <x:c r="U330" t="s">
        <x:v>1399</x:v>
      </x:c>
    </x:row>
    <x:row r="331">
      <x:c r="A331" s="52">
        <x:v>3442</x:v>
      </x:c>
      <x:c r="B331" t="s">
        <x:v>73</x:v>
      </x:c>
      <x:c r="C331" t="s">
        <x:v>2064</x:v>
      </x:c>
      <x:c r="D331" t="s">
        <x:v>2063</x:v>
      </x:c>
      <x:c r="E331">
        <x:v>2</x:v>
      </x:c>
      <x:c r="F331" t="s">
        <x:v>317</x:v>
      </x:c>
      <x:c r="G331" s="52">
        <x:v>30</x:v>
      </x:c>
      <x:c r="H331" s="52">
        <x:v>1913</x:v>
      </x:c>
      <x:c r="I331" s="52">
        <x:v>38</x:v>
      </x:c>
      <x:c r="J331" t="s">
        <x:v>334</x:v>
      </x:c>
      <x:c r="K331" t="s">
        <x:v>1492</x:v>
      </x:c>
      <x:c r="L331" s="52">
        <x:v>4</x:v>
      </x:c>
      <x:c r="M331" s="52">
        <x:v>4</x:v>
      </x:c>
      <x:c r="N331" s="52">
        <x:v>3</x:v>
      </x:c>
      <x:c r="O331" s="52">
        <x:v>2</x:v>
      </x:c>
      <x:c r="P331" s="52">
        <x:v>0</x:v>
      </x:c>
      <x:c r="Q331" t="s">
        <x:v>1656</x:v>
      </x:c>
      <x:c r="R331" s="52">
        <x:v>2960</x:v>
      </x:c>
      <x:c r="T331" t="s">
        <x:v>857</x:v>
      </x:c>
      <x:c r="U331" t="s">
        <x:v>1399</x:v>
      </x:c>
    </x:row>
    <x:row r="332">
      <x:c r="A332" s="52">
        <x:v>3443</x:v>
      </x:c>
      <x:c r="B332" t="s">
        <x:v>77</x:v>
      </x:c>
      <x:c r="C332" t="s">
        <x:v>2065</x:v>
      </x:c>
      <x:c r="D332" t="s">
        <x:v>2063</x:v>
      </x:c>
      <x:c r="E332">
        <x:v>3</x:v>
      </x:c>
      <x:c r="F332" t="s">
        <x:v>317</x:v>
      </x:c>
      <x:c r="G332" s="52">
        <x:v>30</x:v>
      </x:c>
      <x:c r="H332" s="52">
        <x:v>1324</x:v>
      </x:c>
      <x:c r="I332" s="52">
        <x:v>36</x:v>
      </x:c>
      <x:c r="J332" t="s">
        <x:v>334</x:v>
      </x:c>
      <x:c r="K332" t="s">
        <x:v>1492</x:v>
      </x:c>
      <x:c r="L332" s="52">
        <x:v>4</x:v>
      </x:c>
      <x:c r="M332" s="52">
        <x:v>4</x:v>
      </x:c>
      <x:c r="N332" s="52">
        <x:v>3</x:v>
      </x:c>
      <x:c r="O332" s="52">
        <x:v>0</x:v>
      </x:c>
      <x:c r="P332" s="52">
        <x:v>0</x:v>
      </x:c>
      <x:c r="Q332" t="s">
        <x:v>1656</x:v>
      </x:c>
      <x:c r="R332" s="52">
        <x:v>3025</x:v>
      </x:c>
      <x:c r="T332" t="s">
        <x:v>857</x:v>
      </x:c>
      <x:c r="U332" t="s">
        <x:v>1399</x:v>
      </x:c>
    </x:row>
    <x:row r="333">
      <x:c r="A333" s="52">
        <x:v>3466</x:v>
      </x:c>
      <x:c r="B333" t="s">
        <x:v>212</x:v>
      </x:c>
      <x:c r="C333" t="s">
        <x:v>2066</x:v>
      </x:c>
      <x:c r="D333" t="s">
        <x:v>2067</x:v>
      </x:c>
      <x:c r="E333" t="s">
        <x:v>1469</x:v>
      </x:c>
      <x:c r="F333" t="s">
        <x:v>318</x:v>
      </x:c>
      <x:c r="G333" s="52">
        <x:v>60</x:v>
      </x:c>
      <x:c r="H333" s="52">
        <x:v>1923</x:v>
      </x:c>
      <x:c r="I333" s="52">
        <x:v>42</x:v>
      </x:c>
      <x:c r="J333" t="s">
        <x:v>1001</x:v>
      </x:c>
      <x:c r="K333" t="s">
        <x:v>1507</x:v>
      </x:c>
      <x:c r="L333" s="52">
        <x:v>5</x:v>
      </x:c>
      <x:c r="M333" s="52">
        <x:v>5</x:v>
      </x:c>
      <x:c r="N333" s="52">
        <x:v>5</x:v>
      </x:c>
      <x:c r="O333" s="52">
        <x:v>2</x:v>
      </x:c>
      <x:c r="P333" s="52">
        <x:v>0</x:v>
      </x:c>
      <x:c r="Q333" t="s">
        <x:v>2068</x:v>
      </x:c>
      <x:c r="R333" s="52">
        <x:v>2963</x:v>
      </x:c>
      <x:c r="T333" t="s">
        <x:v>857</x:v>
      </x:c>
      <x:c r="U333" t="s">
        <x:v>1399</x:v>
      </x:c>
    </x:row>
    <x:row r="334">
      <x:c r="A334" s="52">
        <x:v>3467</x:v>
      </x:c>
      <x:c r="B334" t="s">
        <x:v>176</x:v>
      </x:c>
      <x:c r="C334" t="s">
        <x:v>2069</x:v>
      </x:c>
      <x:c r="D334" t="s">
        <x:v>2067</x:v>
      </x:c>
      <x:c r="E334" t="s">
        <x:v>1441</x:v>
      </x:c>
      <x:c r="F334" t="s">
        <x:v>318</x:v>
      </x:c>
      <x:c r="G334" s="52">
        <x:v>60</x:v>
      </x:c>
      <x:c r="H334" s="52">
        <x:v>2284</x:v>
      </x:c>
      <x:c r="I334" s="52">
        <x:v>41</x:v>
      </x:c>
      <x:c r="J334" t="s">
        <x:v>1001</x:v>
      </x:c>
      <x:c r="K334" t="s">
        <x:v>1507</x:v>
      </x:c>
      <x:c r="L334" s="52">
        <x:v>5</x:v>
      </x:c>
      <x:c r="M334" s="52">
        <x:v>4</x:v>
      </x:c>
      <x:c r="N334" s="52">
        <x:v>4</x:v>
      </x:c>
      <x:c r="O334" s="52">
        <x:v>2</x:v>
      </x:c>
      <x:c r="P334" s="52">
        <x:v>0</x:v>
      </x:c>
      <x:c r="Q334" t="s">
        <x:v>2070</x:v>
      </x:c>
      <x:c r="R334" s="52">
        <x:v>2963</x:v>
      </x:c>
      <x:c r="T334" t="s">
        <x:v>857</x:v>
      </x:c>
      <x:c r="U334" t="s">
        <x:v>1399</x:v>
      </x:c>
    </x:row>
    <x:row r="335">
      <x:c r="A335" s="52">
        <x:v>3468</x:v>
      </x:c>
      <x:c r="B335" t="s">
        <x:v>198</x:v>
      </x:c>
      <x:c r="C335" t="s">
        <x:v>2071</x:v>
      </x:c>
      <x:c r="D335" t="s">
        <x:v>2067</x:v>
      </x:c>
      <x:c r="E335" t="s">
        <x:v>1406</x:v>
      </x:c>
      <x:c r="F335" t="s">
        <x:v>318</x:v>
      </x:c>
      <x:c r="G335" s="52">
        <x:v>60</x:v>
      </x:c>
      <x:c r="H335" s="52">
        <x:v>1892</x:v>
      </x:c>
      <x:c r="I335" s="52">
        <x:v>33</x:v>
      </x:c>
      <x:c r="J335" t="s">
        <x:v>1253</x:v>
      </x:c>
      <x:c r="K335" t="s">
        <x:v>1507</x:v>
      </x:c>
      <x:c r="L335" s="52">
        <x:v>5</x:v>
      </x:c>
      <x:c r="M335" s="52">
        <x:v>3</x:v>
      </x:c>
      <x:c r="N335" s="52">
        <x:v>3</x:v>
      </x:c>
      <x:c r="O335" s="52">
        <x:v>3</x:v>
      </x:c>
      <x:c r="P335" s="52">
        <x:v>0</x:v>
      </x:c>
      <x:c r="Q335" t="s">
        <x:v>1473</x:v>
      </x:c>
      <x:c r="R335" s="52">
        <x:v>2963</x:v>
      </x:c>
      <x:c r="T335" t="s">
        <x:v>857</x:v>
      </x:c>
      <x:c r="U335" t="s">
        <x:v>1399</x:v>
      </x:c>
    </x:row>
    <x:row r="336">
      <x:c r="A336" s="52">
        <x:v>3469</x:v>
      </x:c>
      <x:c r="B336" t="s">
        <x:v>181</x:v>
      </x:c>
      <x:c r="C336" t="s">
        <x:v>2072</x:v>
      </x:c>
      <x:c r="D336" t="s">
        <x:v>2067</x:v>
      </x:c>
      <x:c r="E336" t="s">
        <x:v>1476</x:v>
      </x:c>
      <x:c r="F336" t="s">
        <x:v>318</x:v>
      </x:c>
      <x:c r="G336" s="52">
        <x:v>60</x:v>
      </x:c>
      <x:c r="H336" s="52">
        <x:v>2447</x:v>
      </x:c>
      <x:c r="I336" s="52">
        <x:v>48</x:v>
      </x:c>
      <x:c r="J336" t="s">
        <x:v>1001</x:v>
      </x:c>
      <x:c r="K336" t="s">
        <x:v>1507</x:v>
      </x:c>
      <x:c r="L336" s="52">
        <x:v>5</x:v>
      </x:c>
      <x:c r="M336" s="52">
        <x:v>8</x:v>
      </x:c>
      <x:c r="N336" s="52">
        <x:v>6</x:v>
      </x:c>
      <x:c r="O336" s="52">
        <x:v>2</x:v>
      </x:c>
      <x:c r="P336" s="52">
        <x:v>0</x:v>
      </x:c>
      <x:c r="Q336" t="s">
        <x:v>1473</x:v>
      </x:c>
      <x:c r="R336" s="52">
        <x:v>3054</x:v>
      </x:c>
      <x:c r="S336" t="s">
        <x:v>1677</x:v>
      </x:c>
      <x:c r="T336" t="s">
        <x:v>857</x:v>
      </x:c>
      <x:c r="U336" t="s">
        <x:v>1399</x:v>
      </x:c>
    </x:row>
    <x:row r="337">
      <x:c r="A337" s="52">
        <x:v>3473</x:v>
      </x:c>
      <x:c r="B337" t="s">
        <x:v>189</x:v>
      </x:c>
      <x:c r="C337" t="s">
        <x:v>2073</x:v>
      </x:c>
      <x:c r="D337" t="s">
        <x:v>2067</x:v>
      </x:c>
      <x:c r="E337" t="s">
        <x:v>1444</x:v>
      </x:c>
      <x:c r="F337" t="s">
        <x:v>318</x:v>
      </x:c>
      <x:c r="G337" s="52">
        <x:v>60</x:v>
      </x:c>
      <x:c r="H337" s="52">
        <x:v>2351</x:v>
      </x:c>
      <x:c r="I337" s="52">
        <x:v>42</x:v>
      </x:c>
      <x:c r="J337" t="s">
        <x:v>975</x:v>
      </x:c>
      <x:c r="K337" t="s">
        <x:v>1507</x:v>
      </x:c>
      <x:c r="L337" s="52">
        <x:v>5</x:v>
      </x:c>
      <x:c r="M337" s="52">
        <x:v>4</x:v>
      </x:c>
      <x:c r="N337" s="52">
        <x:v>4</x:v>
      </x:c>
      <x:c r="O337" s="52">
        <x:v>4</x:v>
      </x:c>
      <x:c r="P337" s="52">
        <x:v>0</x:v>
      </x:c>
      <x:c r="Q337" t="s">
        <x:v>1813</x:v>
      </x:c>
      <x:c r="R337" s="52">
        <x:v>2963</x:v>
      </x:c>
      <x:c r="T337" t="s">
        <x:v>857</x:v>
      </x:c>
      <x:c r="U337" t="s">
        <x:v>1399</x:v>
      </x:c>
    </x:row>
    <x:row r="338">
      <x:c r="A338" s="52">
        <x:v>7593</x:v>
      </x:c>
      <x:c r="B338" t="s">
        <x:v>184</x:v>
      </x:c>
      <x:c r="C338" t="s">
        <x:v>2074</x:v>
      </x:c>
      <x:c r="D338" t="s">
        <x:v>2067</x:v>
      </x:c>
      <x:c r="E338" t="s">
        <x:v>1480</x:v>
      </x:c>
      <x:c r="F338" t="s">
        <x:v>318</x:v>
      </x:c>
      <x:c r="G338" s="52">
        <x:v>60</x:v>
      </x:c>
      <x:c r="H338" s="52">
        <x:v>2676</x:v>
      </x:c>
      <x:c r="I338" s="52">
        <x:v>42</x:v>
      </x:c>
      <x:c r="J338" t="s">
        <x:v>1001</x:v>
      </x:c>
      <x:c r="K338" t="s">
        <x:v>1470</x:v>
      </x:c>
      <x:c r="L338" s="52">
        <x:v>5</x:v>
      </x:c>
      <x:c r="M338" s="52">
        <x:v>4</x:v>
      </x:c>
      <x:c r="N338" s="52">
        <x:v>4</x:v>
      </x:c>
      <x:c r="O338" s="52">
        <x:v>3</x:v>
      </x:c>
      <x:c r="P338" s="52">
        <x:v>0</x:v>
      </x:c>
      <x:c r="Q338" t="s">
        <x:v>2075</x:v>
      </x:c>
      <x:c r="R338" s="52">
        <x:v>3052</x:v>
      </x:c>
      <x:c r="T338" t="s">
        <x:v>857</x:v>
      </x:c>
      <x:c r="U338" t="s">
        <x:v>1399</x:v>
      </x:c>
    </x:row>
    <x:row r="339">
      <x:c r="A339" s="52">
        <x:v>3479</x:v>
      </x:c>
      <x:c r="B339" t="s">
        <x:v>225</x:v>
      </x:c>
      <x:c r="C339" t="s">
        <x:v>225</x:v>
      </x:c>
      <x:c r="D339" t="s">
        <x:v>2076</x:v>
      </x:c>
      <x:c r="E339" t="s">
        <x:v>1406</x:v>
      </x:c>
      <x:c r="F339" t="s">
        <x:v>318</x:v>
      </x:c>
      <x:c r="G339" s="52">
        <x:v>70</x:v>
      </x:c>
      <x:c r="H339" s="52">
        <x:v>1728</x:v>
      </x:c>
      <x:c r="I339" s="52">
        <x:v>37</x:v>
      </x:c>
      <x:c r="J339" t="s">
        <x:v>947</x:v>
      </x:c>
      <x:c r="K339" t="s">
        <x:v>1396</x:v>
      </x:c>
      <x:c r="L339" s="52">
        <x:v>5</x:v>
      </x:c>
      <x:c r="M339" s="52">
        <x:v>4</x:v>
      </x:c>
      <x:c r="N339" s="52">
        <x:v>4</x:v>
      </x:c>
      <x:c r="O339" s="52">
        <x:v>3</x:v>
      </x:c>
      <x:c r="P339" s="52">
        <x:v>0</x:v>
      </x:c>
      <x:c r="R339" s="52">
        <x:v>3050</x:v>
      </x:c>
      <x:c r="T339" t="s">
        <x:v>1368</x:v>
      </x:c>
      <x:c r="U339" t="s">
        <x:v>1399</x:v>
      </x:c>
    </x:row>
    <x:row r="340">
      <x:c r="A340" s="52">
        <x:v>3500</x:v>
      </x:c>
      <x:c r="B340" t="s">
        <x:v>285</x:v>
      </x:c>
      <x:c r="C340" t="s">
        <x:v>2077</x:v>
      </x:c>
      <x:c r="D340" t="s">
        <x:v>285</x:v>
      </x:c>
      <x:c r="E340" t="s">
        <x:v>1435</x:v>
      </x:c>
      <x:c r="F340" t="s">
        <x:v>324</x:v>
      </x:c>
      <x:c r="G340" s="52">
        <x:v>80</x:v>
      </x:c>
      <x:c r="H340" s="52">
        <x:v>2570</x:v>
      </x:c>
      <x:c r="I340" s="52">
        <x:v>50</x:v>
      </x:c>
      <x:c r="J340" t="s">
        <x:v>947</x:v>
      </x:c>
      <x:c r="K340" t="s">
        <x:v>1396</x:v>
      </x:c>
      <x:c r="L340" s="52">
        <x:v>8</x:v>
      </x:c>
      <x:c r="M340" s="52">
        <x:v>6</x:v>
      </x:c>
      <x:c r="N340" s="52">
        <x:v>6</x:v>
      </x:c>
      <x:c r="O340" s="52">
        <x:v>3</x:v>
      </x:c>
      <x:c r="P340" s="52">
        <x:v>0</x:v>
      </x:c>
      <x:c r="Q340" t="s">
        <x:v>1656</x:v>
      </x:c>
      <x:c r="R340" s="52">
        <x:v>2829</x:v>
      </x:c>
      <x:c r="T340" t="s">
        <x:v>857</x:v>
      </x:c>
      <x:c r="U340" t="s">
        <x:v>1399</x:v>
      </x:c>
    </x:row>
    <x:row r="341">
      <x:c r="A341" s="52">
        <x:v>3501</x:v>
      </x:c>
      <x:c r="B341" t="s">
        <x:v>298</x:v>
      </x:c>
      <x:c r="C341" t="s">
        <x:v>298</x:v>
      </x:c>
      <x:c r="D341" t="s">
        <x:v>285</x:v>
      </x:c>
      <x:c r="E341">
        <x:v>2</x:v>
      </x:c>
      <x:c r="F341" t="s">
        <x:v>324</x:v>
      </x:c>
      <x:c r="G341" s="52">
        <x:v>80</x:v>
      </x:c>
      <x:c r="H341" s="52">
        <x:v>2482</x:v>
      </x:c>
      <x:c r="I341" s="52">
        <x:v>52</x:v>
      </x:c>
      <x:c r="J341" t="s">
        <x:v>975</x:v>
      </x:c>
      <x:c r="K341" t="s">
        <x:v>1396</x:v>
      </x:c>
      <x:c r="L341" s="52">
        <x:v>8</x:v>
      </x:c>
      <x:c r="M341" s="52">
        <x:v>6</x:v>
      </x:c>
      <x:c r="N341" s="52">
        <x:v>6</x:v>
      </x:c>
      <x:c r="O341" s="52">
        <x:v>5</x:v>
      </x:c>
      <x:c r="P341" s="52">
        <x:v>0</x:v>
      </x:c>
      <x:c r="Q341" t="s">
        <x:v>1904</x:v>
      </x:c>
      <x:c r="R341" s="52">
        <x:v>2920</x:v>
      </x:c>
      <x:c r="T341" t="s">
        <x:v>857</x:v>
      </x:c>
      <x:c r="U341" t="s">
        <x:v>1399</x:v>
      </x:c>
    </x:row>
    <x:row r="342">
      <x:c r="A342" s="52">
        <x:v>3489</x:v>
      </x:c>
      <x:c r="B342" t="s">
        <x:v>224</x:v>
      </x:c>
      <x:c r="C342" t="s">
        <x:v>2078</x:v>
      </x:c>
      <x:c r="D342" t="s">
        <x:v>2076</x:v>
      </x:c>
      <x:c r="E342" t="s">
        <x:v>2079</x:v>
      </x:c>
      <x:c r="F342" t="s">
        <x:v>318</x:v>
      </x:c>
      <x:c r="G342" s="52">
        <x:v>70</x:v>
      </x:c>
      <x:c r="H342" s="52">
        <x:v>1431</x:v>
      </x:c>
      <x:c r="I342" s="52">
        <x:v>38</x:v>
      </x:c>
      <x:c r="J342" t="s">
        <x:v>947</x:v>
      </x:c>
      <x:c r="K342" t="s">
        <x:v>1396</x:v>
      </x:c>
      <x:c r="L342" s="52">
        <x:v>6</x:v>
      </x:c>
      <x:c r="M342" s="52">
        <x:v>5</x:v>
      </x:c>
      <x:c r="N342" s="52">
        <x:v>4</x:v>
      </x:c>
      <x:c r="O342" s="52">
        <x:v>2</x:v>
      </x:c>
      <x:c r="P342" s="52">
        <x:v>0</x:v>
      </x:c>
      <x:c r="R342" s="52">
        <x:v>2599</x:v>
      </x:c>
      <x:c r="T342" t="s">
        <x:v>1398</x:v>
      </x:c>
      <x:c r="U342" t="s">
        <x:v>1399</x:v>
      </x:c>
    </x:row>
    <x:row r="343">
      <x:c r="A343" s="52">
        <x:v>7599</x:v>
      </x:c>
      <x:c r="B343" t="s">
        <x:v>411</x:v>
      </x:c>
      <x:c r="C343" t="s">
        <x:v>2080</x:v>
      </x:c>
      <x:c r="D343" t="s">
        <x:v>2076</x:v>
      </x:c>
      <x:c r="E343" t="s">
        <x:v>2081</x:v>
      </x:c>
      <x:c r="F343" t="s">
        <x:v>318</x:v>
      </x:c>
      <x:c r="G343" s="52">
        <x:v>70</x:v>
      </x:c>
      <x:c r="H343" s="52">
        <x:v>1751</x:v>
      </x:c>
      <x:c r="I343" s="52">
        <x:v>37</x:v>
      </x:c>
      <x:c r="J343" t="s">
        <x:v>947</x:v>
      </x:c>
      <x:c r="K343" t="s">
        <x:v>1500</x:v>
      </x:c>
      <x:c r="L343" s="52">
        <x:v>7</x:v>
      </x:c>
      <x:c r="M343" s="52">
        <x:v>4</x:v>
      </x:c>
      <x:c r="N343" s="52">
        <x:v>4</x:v>
      </x:c>
      <x:c r="O343" s="52">
        <x:v>2</x:v>
      </x:c>
      <x:c r="P343" s="52">
        <x:v>0</x:v>
      </x:c>
      <x:c r="Q343" t="s">
        <x:v>1656</x:v>
      </x:c>
      <x:c r="R343" s="52">
        <x:v>3052</x:v>
      </x:c>
      <x:c r="T343" t="s">
        <x:v>1398</x:v>
      </x:c>
      <x:c r="U343" t="s">
        <x:v>1399</x:v>
      </x:c>
    </x:row>
    <x:row r="344">
      <x:c r="A344" s="52">
        <x:v>3492</x:v>
      </x:c>
      <x:c r="B344" t="s">
        <x:v>398</x:v>
      </x:c>
      <x:c r="C344" t="s">
        <x:v>2082</x:v>
      </x:c>
      <x:c r="D344" t="s">
        <x:v>2076</x:v>
      </x:c>
      <x:c r="E344" t="s">
        <x:v>2083</x:v>
      </x:c>
      <x:c r="F344" t="s">
        <x:v>318</x:v>
      </x:c>
      <x:c r="G344" s="52">
        <x:v>70</x:v>
      </x:c>
      <x:c r="H344" s="52">
        <x:v>1487</x:v>
      </x:c>
      <x:c r="I344" s="52">
        <x:v>35</x:v>
      </x:c>
      <x:c r="J344" t="s">
        <x:v>947</x:v>
      </x:c>
      <x:c r="K344" t="s">
        <x:v>1396</x:v>
      </x:c>
      <x:c r="L344" s="52">
        <x:v>5</x:v>
      </x:c>
      <x:c r="M344" s="52">
        <x:v>4</x:v>
      </x:c>
      <x:c r="N344" s="52">
        <x:v>4</x:v>
      </x:c>
      <x:c r="O344" s="52">
        <x:v>2</x:v>
      </x:c>
      <x:c r="P344" s="52">
        <x:v>0</x:v>
      </x:c>
      <x:c r="Q344" t="s">
        <x:v>2084</x:v>
      </x:c>
      <x:c r="R344" s="52">
        <x:v>3047</x:v>
      </x:c>
      <x:c r="T344" t="s">
        <x:v>1398</x:v>
      </x:c>
      <x:c r="U344" t="s">
        <x:v>1399</x:v>
      </x:c>
    </x:row>
    <x:row r="345">
      <x:c r="A345" s="52">
        <x:v>3520</x:v>
      </x:c>
      <x:c r="B345" t="s">
        <x:v>340</x:v>
      </x:c>
      <x:c r="C345" t="s">
        <x:v>2085</x:v>
      </x:c>
      <x:c r="D345" t="s">
        <x:v>2086</x:v>
      </x:c>
      <x:c r="E345" t="s">
        <x:v>2087</x:v>
      </x:c>
      <x:c r="F345" t="s">
        <x:v>317</x:v>
      </x:c>
      <x:c r="G345" s="52">
        <x:v>20</x:v>
      </x:c>
      <x:c r="H345" s="52">
        <x:v>384</x:v>
      </x:c>
      <x:c r="I345" s="52">
        <x:v>14</x:v>
      </x:c>
      <x:c r="J345" t="s">
        <x:v>1411</x:v>
      </x:c>
      <x:c r="K345" t="s">
        <x:v>1553</x:v>
      </x:c>
      <x:c r="L345" s="52">
        <x:v>2</x:v>
      </x:c>
      <x:c r="M345" s="52">
        <x:v>1</x:v>
      </x:c>
      <x:c r="N345" s="52">
        <x:v>1</x:v>
      </x:c>
      <x:c r="O345" s="52">
        <x:v>0</x:v>
      </x:c>
      <x:c r="P345" s="52">
        <x:v>0</x:v>
      </x:c>
      <x:c r="R345" s="52">
        <x:v>2471</x:v>
      </x:c>
      <x:c r="T345" t="s">
        <x:v>1398</x:v>
      </x:c>
      <x:c r="U345" t="s">
        <x:v>1399</x:v>
      </x:c>
    </x:row>
    <x:row r="346">
      <x:c r="A346" s="52">
        <x:v>3538</x:v>
      </x:c>
      <x:c r="B346" t="s">
        <x:v>360</x:v>
      </x:c>
      <x:c r="C346" t="s">
        <x:v>2088</x:v>
      </x:c>
      <x:c r="D346" t="s">
        <x:v>2089</x:v>
      </x:c>
      <x:c r="E346" t="s">
        <x:v>2090</x:v>
      </x:c>
      <x:c r="F346" t="s">
        <x:v>319</x:v>
      </x:c>
      <x:c r="G346" s="52">
        <x:v>40</x:v>
      </x:c>
      <x:c r="H346" s="52">
        <x:v>982</x:v>
      </x:c>
      <x:c r="I346" s="52">
        <x:v>25</x:v>
      </x:c>
      <x:c r="J346" t="s">
        <x:v>975</x:v>
      </x:c>
      <x:c r="K346" t="s">
        <x:v>1500</x:v>
      </x:c>
      <x:c r="L346" s="52">
        <x:v>4</x:v>
      </x:c>
      <x:c r="M346" s="52">
        <x:v>2</x:v>
      </x:c>
      <x:c r="N346" s="52">
        <x:v>2</x:v>
      </x:c>
      <x:c r="O346" s="52">
        <x:v>2</x:v>
      </x:c>
      <x:c r="P346" s="52">
        <x:v>0</x:v>
      </x:c>
      <x:c r="Q346" t="s">
        <x:v>1575</x:v>
      </x:c>
      <x:c r="R346" s="52">
        <x:v>2689</x:v>
      </x:c>
      <x:c r="T346" t="s">
        <x:v>1398</x:v>
      </x:c>
      <x:c r="U346" t="s">
        <x:v>1399</x:v>
      </x:c>
    </x:row>
    <x:row r="347">
      <x:c r="A347" s="52">
        <x:v>3541</x:v>
      </x:c>
      <x:c r="B347" t="s">
        <x:v>377</x:v>
      </x:c>
      <x:c r="C347" t="s">
        <x:v>2091</x:v>
      </x:c>
      <x:c r="D347" t="s">
        <x:v>2089</x:v>
      </x:c>
      <x:c r="E347" t="s">
        <x:v>2092</x:v>
      </x:c>
      <x:c r="F347" t="s">
        <x:v>319</x:v>
      </x:c>
      <x:c r="G347" s="52">
        <x:v>40</x:v>
      </x:c>
      <x:c r="H347" s="52">
        <x:v>936</x:v>
      </x:c>
      <x:c r="I347" s="52">
        <x:v>26</x:v>
      </x:c>
      <x:c r="J347" t="s">
        <x:v>975</x:v>
      </x:c>
      <x:c r="K347" t="s">
        <x:v>1500</x:v>
      </x:c>
      <x:c r="L347" s="52">
        <x:v>4</x:v>
      </x:c>
      <x:c r="M347" s="52">
        <x:v>2</x:v>
      </x:c>
      <x:c r="N347" s="52">
        <x:v>2</x:v>
      </x:c>
      <x:c r="O347" s="52">
        <x:v>2</x:v>
      </x:c>
      <x:c r="P347" s="52">
        <x:v>0</x:v>
      </x:c>
      <x:c r="Q347" t="s">
        <x:v>2093</x:v>
      </x:c>
      <x:c r="R347" s="52">
        <x:v>3050</x:v>
      </x:c>
      <x:c r="T347" t="s">
        <x:v>1398</x:v>
      </x:c>
      <x:c r="U347" t="s">
        <x:v>1399</x:v>
      </x:c>
    </x:row>
    <x:row r="348">
      <x:c r="A348" s="52">
        <x:v>3573</x:v>
      </x:c>
      <x:c r="B348" t="s">
        <x:v>359</x:v>
      </x:c>
      <x:c r="C348" t="s">
        <x:v>2094</x:v>
      </x:c>
      <x:c r="D348" t="s">
        <x:v>2095</x:v>
      </x:c>
      <x:c r="E348" t="s">
        <x:v>2096</x:v>
      </x:c>
      <x:c r="F348" t="s">
        <x:v>319</x:v>
      </x:c>
      <x:c r="G348" s="52">
        <x:v>55</x:v>
      </x:c>
      <x:c r="H348" s="52">
        <x:v>1101</x:v>
      </x:c>
      <x:c r="I348" s="52">
        <x:v>30</x:v>
      </x:c>
      <x:c r="J348" t="s">
        <x:v>1001</x:v>
      </x:c>
      <x:c r="K348" t="s">
        <x:v>1470</x:v>
      </x:c>
      <x:c r="L348" s="52">
        <x:v>5</x:v>
      </x:c>
      <x:c r="M348" s="52">
        <x:v>2</x:v>
      </x:c>
      <x:c r="N348" s="52">
        <x:v>2</x:v>
      </x:c>
      <x:c r="O348" s="52">
        <x:v>1</x:v>
      </x:c>
      <x:c r="P348" s="52">
        <x:v>0</x:v>
      </x:c>
      <x:c r="R348" s="52">
        <x:v>2575</x:v>
      </x:c>
      <x:c r="T348" t="s">
        <x:v>1398</x:v>
      </x:c>
      <x:c r="U348" t="s">
        <x:v>1399</x:v>
      </x:c>
    </x:row>
    <x:row r="349">
      <x:c r="A349" s="52">
        <x:v>3576</x:v>
      </x:c>
      <x:c r="B349" t="s">
        <x:v>363</x:v>
      </x:c>
      <x:c r="C349" t="s">
        <x:v>2097</x:v>
      </x:c>
      <x:c r="D349" t="s">
        <x:v>2095</x:v>
      </x:c>
      <x:c r="E349" t="s">
        <x:v>2098</x:v>
      </x:c>
      <x:c r="F349" t="s">
        <x:v>319</x:v>
      </x:c>
      <x:c r="G349" s="52">
        <x:v>55</x:v>
      </x:c>
      <x:c r="H349" s="52">
        <x:v>1673</x:v>
      </x:c>
      <x:c r="I349" s="52">
        <x:v>34</x:v>
      </x:c>
      <x:c r="J349" t="s">
        <x:v>1001</x:v>
      </x:c>
      <x:c r="K349" t="s">
        <x:v>1920</x:v>
      </x:c>
      <x:c r="L349" s="52">
        <x:v>5</x:v>
      </x:c>
      <x:c r="M349" s="52">
        <x:v>3</x:v>
      </x:c>
      <x:c r="N349" s="52">
        <x:v>3</x:v>
      </x:c>
      <x:c r="O349" s="52">
        <x:v>2</x:v>
      </x:c>
      <x:c r="P349" s="52">
        <x:v>0</x:v>
      </x:c>
      <x:c r="R349" s="52">
        <x:v>3050</x:v>
      </x:c>
      <x:c r="T349" t="s">
        <x:v>1398</x:v>
      </x:c>
      <x:c r="U349" t="s">
        <x:v>1399</x:v>
      </x:c>
    </x:row>
    <x:row r="350">
      <x:c r="A350" s="52">
        <x:v>3601</x:v>
      </x:c>
      <x:c r="B350" t="s">
        <x:v>139</x:v>
      </x:c>
      <x:c r="C350" t="s">
        <x:v>2099</x:v>
      </x:c>
      <x:c r="D350" t="s">
        <x:v>139</x:v>
      </x:c>
      <x:c r="E350" t="s">
        <x:v>1435</x:v>
      </x:c>
      <x:c r="F350" t="s">
        <x:v>319</x:v>
      </x:c>
      <x:c r="G350" s="52">
        <x:v>45</x:v>
      </x:c>
      <x:c r="H350" s="52">
        <x:v>1624</x:v>
      </x:c>
      <x:c r="I350" s="52">
        <x:v>34</x:v>
      </x:c>
      <x:c r="J350" t="s">
        <x:v>1001</x:v>
      </x:c>
      <x:c r="K350" t="s">
        <x:v>1500</x:v>
      </x:c>
      <x:c r="L350" s="52">
        <x:v>5</x:v>
      </x:c>
      <x:c r="M350" s="52">
        <x:v>4</x:v>
      </x:c>
      <x:c r="N350" s="52">
        <x:v>4</x:v>
      </x:c>
      <x:c r="O350" s="52">
        <x:v>2</x:v>
      </x:c>
      <x:c r="P350" s="52">
        <x:v>0</x:v>
      </x:c>
      <x:c r="Q350" t="s">
        <x:v>1428</x:v>
      </x:c>
      <x:c r="R350" s="52">
        <x:v>2843</x:v>
      </x:c>
      <x:c r="T350" t="s">
        <x:v>857</x:v>
      </x:c>
      <x:c r="U350" t="s">
        <x:v>1399</x:v>
      </x:c>
    </x:row>
    <x:row r="351">
      <x:c r="A351" s="52">
        <x:v>3597</x:v>
      </x:c>
      <x:c r="B351" t="s">
        <x:v>373</x:v>
      </x:c>
      <x:c r="C351" t="s">
        <x:v>2100</x:v>
      </x:c>
      <x:c r="D351" t="s">
        <x:v>2101</x:v>
      </x:c>
      <x:c r="E351" t="s">
        <x:v>2102</x:v>
      </x:c>
      <x:c r="F351" t="s">
        <x:v>319</x:v>
      </x:c>
      <x:c r="G351" s="52">
        <x:v>45</x:v>
      </x:c>
      <x:c r="H351" s="52">
        <x:v>1089</x:v>
      </x:c>
      <x:c r="I351" s="52">
        <x:v>27</x:v>
      </x:c>
      <x:c r="J351" t="s">
        <x:v>947</x:v>
      </x:c>
      <x:c r="K351" t="s">
        <x:v>1500</x:v>
      </x:c>
      <x:c r="L351" s="52">
        <x:v>5</x:v>
      </x:c>
      <x:c r="M351" s="52">
        <x:v>2</x:v>
      </x:c>
      <x:c r="N351" s="52">
        <x:v>2</x:v>
      </x:c>
      <x:c r="O351" s="52">
        <x:v>1</x:v>
      </x:c>
      <x:c r="P351" s="52">
        <x:v>0</x:v>
      </x:c>
      <x:c r="Q351" t="s">
        <x:v>1428</x:v>
      </x:c>
      <x:c r="R351" s="52">
        <x:v>2660</x:v>
      </x:c>
      <x:c r="T351" t="s">
        <x:v>1398</x:v>
      </x:c>
      <x:c r="U351" t="s">
        <x:v>1399</x:v>
      </x:c>
    </x:row>
    <x:row r="352">
      <x:c r="A352" s="52">
        <x:v>3600</x:v>
      </x:c>
      <x:c r="B352" t="s">
        <x:v>376</x:v>
      </x:c>
      <x:c r="C352" t="s">
        <x:v>2103</x:v>
      </x:c>
      <x:c r="D352" t="s">
        <x:v>2101</x:v>
      </x:c>
      <x:c r="E352" t="s">
        <x:v>2104</x:v>
      </x:c>
      <x:c r="F352" t="s">
        <x:v>319</x:v>
      </x:c>
      <x:c r="G352" s="52">
        <x:v>45</x:v>
      </x:c>
      <x:c r="H352" s="52">
        <x:v>1067</x:v>
      </x:c>
      <x:c r="I352" s="52">
        <x:v>28</x:v>
      </x:c>
      <x:c r="J352" t="s">
        <x:v>947</x:v>
      </x:c>
      <x:c r="K352" t="s">
        <x:v>1500</x:v>
      </x:c>
      <x:c r="L352" s="52">
        <x:v>4</x:v>
      </x:c>
      <x:c r="M352" s="52">
        <x:v>3</x:v>
      </x:c>
      <x:c r="N352" s="52">
        <x:v>3</x:v>
      </x:c>
      <x:c r="O352" s="52">
        <x:v>1</x:v>
      </x:c>
      <x:c r="P352" s="52">
        <x:v>0</x:v>
      </x:c>
      <x:c r="Q352" t="s">
        <x:v>1428</x:v>
      </x:c>
      <x:c r="R352" s="52">
        <x:v>3052</x:v>
      </x:c>
      <x:c r="T352" t="s">
        <x:v>1398</x:v>
      </x:c>
      <x:c r="U352" t="s">
        <x:v>1399</x:v>
      </x:c>
    </x:row>
  </x:sheetData>
  <x:pageMargins left="0.7" right="0.7" top="0.75" bottom="0.75" header="0.3" footer="0.3"/>
  <x:tableParts count="1">
    <x:tablePart xmlns:r="http://schemas.openxmlformats.org/officeDocument/2006/relationships" r:id="R2a21b6cfe8cc46ff"/>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8" customWidth="1"/>
    <x:col min="2" max="2" width="14" customWidth="1"/>
    <x:col min="3" max="3" width="12" customWidth="1"/>
    <x:col min="4" max="4" width="38" customWidth="1"/>
    <x:col min="5" max="5" width="58" customWidth="1"/>
    <x:col min="6" max="6" width="20" customWidth="1"/>
  </x:cols>
  <x:sheetData>
    <x:row r="1" ht="32.099998474121094" customHeight="1">
      <x:c r="A1" s="25" t="s">
        <x:v>2105</x:v>
      </x:c>
      <x:c r="B1" s="25" t="s">
        <x:v>2106</x:v>
      </x:c>
      <x:c r="C1" s="25" t="s">
        <x:v>2107</x:v>
      </x:c>
      <x:c r="D1" s="25" t="s">
        <x:v>2108</x:v>
      </x:c>
      <x:c r="E1" s="25" t="s">
        <x:v>2109</x:v>
      </x:c>
      <x:c r="F1" s="12" t="s">
        <x:v>2110</x:v>
      </x:c>
    </x:row>
    <x:row r="2" ht="18" customHeight="1">
      <x:c r="A2" s="27" t="s">
        <x:v>45</x:v>
      </x:c>
      <x:c r="B2" s="54"/>
      <x:c r="C2" s="54">
        <x:v>2591</x:v>
      </x:c>
      <x:c r="D2" s="27" t="s">
        <x:v>1922</x:v>
      </x:c>
      <x:c r="E2" s="27" t="s">
        <x:v>2111</x:v>
      </x:c>
      <x:c r="F2" s="12"/>
    </x:row>
    <x:row r="3" ht="18" customHeight="1">
      <x:c r="A3" s="27" t="s">
        <x:v>32</x:v>
      </x:c>
      <x:c r="B3" s="54"/>
      <x:c r="C3" s="54">
        <x:v>2592</x:v>
      </x:c>
      <x:c r="D3" s="27" t="s">
        <x:v>1924</x:v>
      </x:c>
      <x:c r="E3" s="27" t="s">
        <x:v>2112</x:v>
      </x:c>
      <x:c r="F3" s="12"/>
    </x:row>
    <x:row r="4" ht="18" customHeight="1">
      <x:c r="A4" s="27" t="s">
        <x:v>48</x:v>
      </x:c>
      <x:c r="B4" s="54"/>
      <x:c r="C4" s="54">
        <x:v>2593</x:v>
      </x:c>
      <x:c r="D4" s="27" t="s">
        <x:v>1926</x:v>
      </x:c>
      <x:c r="E4" s="27" t="s">
        <x:v>2111</x:v>
      </x:c>
      <x:c r="F4" s="12"/>
    </x:row>
    <x:row r="5" ht="18" customHeight="1">
      <x:c r="A5" s="27" t="s">
        <x:v>49</x:v>
      </x:c>
      <x:c r="B5" s="54"/>
      <x:c r="C5" s="54">
        <x:v>2594</x:v>
      </x:c>
      <x:c r="D5" s="27" t="s">
        <x:v>1928</x:v>
      </x:c>
      <x:c r="E5" s="27" t="s">
        <x:v>2111</x:v>
      </x:c>
      <x:c r="F5" s="12"/>
    </x:row>
    <x:row r="6" ht="18" customHeight="1">
      <x:c r="A6" s="27" t="s">
        <x:v>30</x:v>
      </x:c>
      <x:c r="B6" s="54"/>
      <x:c r="C6" s="54">
        <x:v>2598</x:v>
      </x:c>
      <x:c r="D6" s="27" t="s">
        <x:v>1929</x:v>
      </x:c>
      <x:c r="E6" s="27" t="s">
        <x:v>2113</x:v>
      </x:c>
      <x:c r="F6" s="12"/>
    </x:row>
    <x:row r="7" ht="18" customHeight="1">
      <x:c r="A7" s="27" t="s">
        <x:v>38</x:v>
      </x:c>
      <x:c r="B7" s="54"/>
      <x:c r="C7" s="54">
        <x:v>7483</x:v>
      </x:c>
      <x:c r="D7" s="27" t="s">
        <x:v>1930</x:v>
      </x:c>
      <x:c r="E7" s="27" t="s">
        <x:v>2112</x:v>
      </x:c>
      <x:c r="F7" s="12"/>
    </x:row>
    <x:row r="8" ht="18" customHeight="1">
      <x:c r="A8" s="27" t="s">
        <x:v>36</x:v>
      </x:c>
      <x:c r="B8" s="54"/>
      <x:c r="C8" s="54">
        <x:v>7589</x:v>
      </x:c>
      <x:c r="D8" s="27" t="s">
        <x:v>1932</x:v>
      </x:c>
      <x:c r="E8" s="27" t="s">
        <x:v>2113</x:v>
      </x:c>
      <x:c r="F8" s="12"/>
    </x:row>
    <x:row r="9" ht="18" customHeight="1">
      <x:c r="A9" s="27" t="s">
        <x:v>394</x:v>
      </x:c>
      <x:c r="B9" s="54"/>
      <x:c r="C9" s="54">
        <x:v>74</x:v>
      </x:c>
      <x:c r="D9" s="27" t="s">
        <x:v>1393</x:v>
      </x:c>
      <x:c r="E9" s="27" t="s">
        <x:v>2114</x:v>
      </x:c>
      <x:c r="F9" s="12"/>
    </x:row>
    <x:row r="10" ht="18" customHeight="1">
      <x:c r="A10" s="27" t="s">
        <x:v>242</x:v>
      </x:c>
      <x:c r="B10" s="54"/>
      <x:c r="C10" s="54">
        <x:v>75</x:v>
      </x:c>
      <x:c r="D10" s="27" t="s">
        <x:v>1400</x:v>
      </x:c>
      <x:c r="E10" s="27" t="s">
        <x:v>2115</x:v>
      </x:c>
      <x:c r="F10" s="12"/>
    </x:row>
    <x:row r="11" ht="18" customHeight="1">
      <x:c r="A11" s="27" t="s">
        <x:v>403</x:v>
      </x:c>
      <x:c r="B11" s="54"/>
      <x:c r="C11" s="54">
        <x:v>7598</x:v>
      </x:c>
      <x:c r="D11" s="27" t="s">
        <x:v>1403</x:v>
      </x:c>
      <x:c r="E11" s="27" t="s">
        <x:v>2114</x:v>
      </x:c>
      <x:c r="F11" s="12"/>
    </x:row>
    <x:row r="12" ht="18" customHeight="1">
      <x:c r="A12" s="27" t="s">
        <x:v>240</x:v>
      </x:c>
      <x:c r="B12" s="54"/>
      <x:c r="C12" s="54">
        <x:v>90</x:v>
      </x:c>
      <x:c r="D12" s="27" t="s">
        <x:v>240</x:v>
      </x:c>
      <x:c r="E12" s="27" t="s">
        <x:v>2115</x:v>
      </x:c>
      <x:c r="F12" s="12"/>
    </x:row>
    <x:row r="13" ht="18" customHeight="1">
      <x:c r="A13" s="27" t="s">
        <x:v>37</x:v>
      </x:c>
      <x:c r="B13" s="54"/>
      <x:c r="C13" s="54">
        <x:v>1378</x:v>
      </x:c>
      <x:c r="D13" s="27" t="s">
        <x:v>1701</x:v>
      </x:c>
      <x:c r="E13" s="27" t="s">
        <x:v>2116</x:v>
      </x:c>
      <x:c r="F13" s="12"/>
    </x:row>
    <x:row r="14" ht="18" customHeight="1">
      <x:c r="A14" s="27" t="s">
        <x:v>59</x:v>
      </x:c>
      <x:c r="B14" s="54"/>
      <x:c r="C14" s="54">
        <x:v>1379</x:v>
      </x:c>
      <x:c r="D14" s="27" t="s">
        <x:v>1704</x:v>
      </x:c>
      <x:c r="E14" s="27" t="s">
        <x:v>2117</x:v>
      </x:c>
      <x:c r="F14" s="12"/>
    </x:row>
    <x:row r="15" ht="18" customHeight="1">
      <x:c r="A15" s="27" t="s">
        <x:v>43</x:v>
      </x:c>
      <x:c r="B15" s="54"/>
      <x:c r="C15" s="54">
        <x:v>1381</x:v>
      </x:c>
      <x:c r="D15" s="27" t="s">
        <x:v>1706</x:v>
      </x:c>
      <x:c r="E15" s="27" t="s">
        <x:v>2111</x:v>
      </x:c>
      <x:c r="F15" s="12"/>
    </x:row>
    <x:row r="16" ht="18" customHeight="1">
      <x:c r="A16" s="27" t="s">
        <x:v>31</x:v>
      </x:c>
      <x:c r="B16" s="54"/>
      <x:c r="C16" s="54">
        <x:v>1384</x:v>
      </x:c>
      <x:c r="D16" s="27" t="s">
        <x:v>1708</x:v>
      </x:c>
      <x:c r="E16" s="27" t="s">
        <x:v>2116</x:v>
      </x:c>
      <x:c r="F16" s="12"/>
    </x:row>
    <x:row r="17" ht="18" customHeight="1">
      <x:c r="A17" s="27" t="s">
        <x:v>430</x:v>
      </x:c>
      <x:c r="B17" s="54"/>
      <x:c r="C17" s="54">
        <x:v>140</x:v>
      </x:c>
      <x:c r="D17" s="27" t="s">
        <x:v>1416</x:v>
      </x:c>
      <x:c r="E17" s="27" t="s">
        <x:v>2118</x:v>
      </x:c>
      <x:c r="F17" s="12"/>
    </x:row>
    <x:row r="18" ht="18" customHeight="1">
      <x:c r="A18" s="27" t="s">
        <x:v>284</x:v>
      </x:c>
      <x:c r="B18" s="54"/>
      <x:c r="C18" s="54">
        <x:v>152</x:v>
      </x:c>
      <x:c r="D18" s="27" t="s">
        <x:v>1425</x:v>
      </x:c>
      <x:c r="E18" s="27" t="s">
        <x:v>2119</x:v>
      </x:c>
      <x:c r="F18" s="12"/>
    </x:row>
    <x:row r="19" ht="18" customHeight="1">
      <x:c r="A19" s="27" t="s">
        <x:v>440</x:v>
      </x:c>
      <x:c r="B19" s="54"/>
      <x:c r="C19" s="54">
        <x:v>144</x:v>
      </x:c>
      <x:c r="D19" s="27" t="s">
        <x:v>1421</x:v>
      </x:c>
      <x:c r="E19" s="27" t="s">
        <x:v>2118</x:v>
      </x:c>
      <x:c r="F19" s="12"/>
    </x:row>
    <x:row r="20" ht="18" customHeight="1">
      <x:c r="A20" s="27" t="s">
        <x:v>361</x:v>
      </x:c>
      <x:c r="B20" s="54"/>
      <x:c r="C20" s="54">
        <x:v>127</x:v>
      </x:c>
      <x:c r="D20" s="27" t="s">
        <x:v>1408</x:v>
      </x:c>
      <x:c r="E20" s="27" t="s">
        <x:v>2120</x:v>
      </x:c>
      <x:c r="F20" s="12"/>
    </x:row>
    <x:row r="21" ht="18" customHeight="1">
      <x:c r="A21" s="27" t="s">
        <x:v>386</x:v>
      </x:c>
      <x:c r="B21" s="54"/>
      <x:c r="C21" s="54">
        <x:v>128</x:v>
      </x:c>
      <x:c r="D21" s="27" t="s">
        <x:v>1414</x:v>
      </x:c>
      <x:c r="E21" s="27" t="s">
        <x:v>2120</x:v>
      </x:c>
      <x:c r="F21" s="12"/>
    </x:row>
    <x:row r="22" ht="18" customHeight="1">
      <x:c r="A22" s="27" t="s">
        <x:v>283</x:v>
      </x:c>
      <x:c r="B22" s="54"/>
      <x:c r="C22" s="54">
        <x:v>3750</x:v>
      </x:c>
      <x:c r="D22" s="27" t="s">
        <x:v>283</x:v>
      </x:c>
      <x:c r="E22" s="27" t="s">
        <x:v>2119</x:v>
      </x:c>
      <x:c r="F22" s="12"/>
    </x:row>
    <x:row r="23" ht="18" customHeight="1">
      <x:c r="A23" s="27" t="s">
        <x:v>435</x:v>
      </x:c>
      <x:c r="B23" s="54"/>
      <x:c r="C23" s="54">
        <x:v>174</x:v>
      </x:c>
      <x:c r="D23" s="27" t="s">
        <x:v>1429</x:v>
      </x:c>
      <x:c r="E23" s="27" t="s">
        <x:v>2118</x:v>
      </x:c>
      <x:c r="F23" s="12"/>
    </x:row>
    <x:row r="24" ht="18" customHeight="1">
      <x:c r="A24" s="27" t="s">
        <x:v>286</x:v>
      </x:c>
      <x:c r="B24" s="54"/>
      <x:c r="C24" s="54">
        <x:v>1841</x:v>
      </x:c>
      <x:c r="D24" s="27" t="s">
        <x:v>1779</x:v>
      </x:c>
      <x:c r="E24" s="27" t="s">
        <x:v>2121</x:v>
      </x:c>
      <x:c r="F24" s="12"/>
    </x:row>
    <x:row r="25" ht="18" customHeight="1">
      <x:c r="A25" s="27" t="s">
        <x:v>122</x:v>
      </x:c>
      <x:c r="B25" s="54"/>
      <x:c r="C25" s="54">
        <x:v>262</x:v>
      </x:c>
      <x:c r="D25" s="27" t="s">
        <x:v>122</x:v>
      </x:c>
      <x:c r="E25" s="27" t="s">
        <x:v>2122</x:v>
      </x:c>
      <x:c r="F25" s="12"/>
    </x:row>
    <x:row r="26" ht="18" customHeight="1">
      <x:c r="A26" s="27" t="s">
        <x:v>120</x:v>
      </x:c>
      <x:c r="B26" s="54"/>
      <x:c r="C26" s="54">
        <x:v>273</x:v>
      </x:c>
      <x:c r="D26" s="27" t="s">
        <x:v>120</x:v>
      </x:c>
      <x:c r="E26" s="27" t="s">
        <x:v>2122</x:v>
      </x:c>
      <x:c r="F26" s="12"/>
    </x:row>
    <x:row r="27" ht="18" customHeight="1">
      <x:c r="A27" s="27" t="s">
        <x:v>364</x:v>
      </x:c>
      <x:c r="B27" s="54"/>
      <x:c r="C27" s="54">
        <x:v>373</x:v>
      </x:c>
      <x:c r="D27" s="27" t="s">
        <x:v>1497</x:v>
      </x:c>
      <x:c r="E27" s="27" t="s">
        <x:v>2120</x:v>
      </x:c>
      <x:c r="F27" s="12"/>
    </x:row>
    <x:row r="28" ht="18" customHeight="1">
      <x:c r="A28" s="27" t="s">
        <x:v>378</x:v>
      </x:c>
      <x:c r="B28" s="54"/>
      <x:c r="C28" s="54">
        <x:v>377</x:v>
      </x:c>
      <x:c r="D28" s="27" t="s">
        <x:v>1501</x:v>
      </x:c>
      <x:c r="E28" s="27" t="s">
        <x:v>2120</x:v>
      </x:c>
      <x:c r="F28" s="12"/>
    </x:row>
    <x:row r="29" ht="18" customHeight="1">
      <x:c r="A29" s="27" t="s">
        <x:v>405</x:v>
      </x:c>
      <x:c r="B29" s="54"/>
      <x:c r="C29" s="54">
        <x:v>358</x:v>
      </x:c>
      <x:c r="D29" s="27" t="s">
        <x:v>1482</x:v>
      </x:c>
      <x:c r="E29" s="27" t="s">
        <x:v>2114</x:v>
      </x:c>
      <x:c r="F29" s="12"/>
    </x:row>
    <x:row r="30" ht="18" customHeight="1">
      <x:c r="A30" s="27" t="s">
        <x:v>218</x:v>
      </x:c>
      <x:c r="B30" s="54"/>
      <x:c r="C30" s="54">
        <x:v>357</x:v>
      </x:c>
      <x:c r="D30" s="27" t="s">
        <x:v>1486</x:v>
      </x:c>
      <x:c r="E30" s="27" t="s">
        <x:v>2123</x:v>
      </x:c>
      <x:c r="F30" s="12"/>
    </x:row>
    <x:row r="31" ht="18" customHeight="1">
      <x:c r="A31" s="27" t="s">
        <x:v>404</x:v>
      </x:c>
      <x:c r="B31" s="54"/>
      <x:c r="C31" s="54">
        <x:v>362</x:v>
      </x:c>
      <x:c r="D31" s="27" t="s">
        <x:v>1488</x:v>
      </x:c>
      <x:c r="E31" s="27" t="s">
        <x:v>2114</x:v>
      </x:c>
      <x:c r="F31" s="12"/>
    </x:row>
    <x:row r="32" ht="18" customHeight="1">
      <x:c r="A32" s="27" t="s">
        <x:v>107</x:v>
      </x:c>
      <x:c r="B32" s="54"/>
      <x:c r="C32" s="54">
        <x:v>363</x:v>
      </x:c>
      <x:c r="D32" s="27" t="s">
        <x:v>107</x:v>
      </x:c>
      <x:c r="E32" s="27" t="s">
        <x:v>2124</x:v>
      </x:c>
      <x:c r="F32" s="12"/>
    </x:row>
    <x:row r="33" ht="18" customHeight="1">
      <x:c r="A33" s="27" t="s">
        <x:v>125</x:v>
      </x:c>
      <x:c r="B33" s="54"/>
      <x:c r="C33" s="54">
        <x:v>364</x:v>
      </x:c>
      <x:c r="D33" s="27" t="s">
        <x:v>125</x:v>
      </x:c>
      <x:c r="E33" s="27" t="s">
        <x:v>2122</x:v>
      </x:c>
      <x:c r="F33" s="12"/>
    </x:row>
    <x:row r="34" ht="18" customHeight="1">
      <x:c r="A34" s="27" t="s">
        <x:v>136</x:v>
      </x:c>
      <x:c r="B34" s="54"/>
      <x:c r="C34" s="54">
        <x:v>365</x:v>
      </x:c>
      <x:c r="D34" s="27" t="s">
        <x:v>136</x:v>
      </x:c>
      <x:c r="E34" s="27" t="s">
        <x:v>2125</x:v>
      </x:c>
      <x:c r="F34" s="12"/>
    </x:row>
    <x:row r="35" ht="18" customHeight="1">
      <x:c r="A35" s="27" t="s">
        <x:v>96</x:v>
      </x:c>
      <x:c r="B35" s="54"/>
      <x:c r="C35" s="54">
        <x:v>366</x:v>
      </x:c>
      <x:c r="D35" s="27" t="s">
        <x:v>96</x:v>
      </x:c>
      <x:c r="E35" s="27" t="s">
        <x:v>2126</x:v>
      </x:c>
      <x:c r="F35" s="12"/>
    </x:row>
    <x:row r="36" ht="18" customHeight="1">
      <x:c r="A36" s="27" t="s">
        <x:v>127</x:v>
      </x:c>
      <x:c r="B36" s="54"/>
      <x:c r="C36" s="54">
        <x:v>369</x:v>
      </x:c>
      <x:c r="D36" s="27" t="s">
        <x:v>127</x:v>
      </x:c>
      <x:c r="E36" s="27" t="s">
        <x:v>2125</x:v>
      </x:c>
      <x:c r="F36" s="12"/>
    </x:row>
    <x:row r="37" ht="18" customHeight="1">
      <x:c r="A37" s="27" t="s">
        <x:v>244</x:v>
      </x:c>
      <x:c r="B37" s="54"/>
      <x:c r="C37" s="54">
        <x:v>3432</x:v>
      </x:c>
      <x:c r="D37" s="27" t="s">
        <x:v>2060</x:v>
      </x:c>
      <x:c r="E37" s="27" t="s">
        <x:v>2127</x:v>
      </x:c>
      <x:c r="F37" s="12"/>
    </x:row>
    <x:row r="38" ht="18" customHeight="1">
      <x:c r="A38" s="27" t="s">
        <x:v>422</x:v>
      </x:c>
      <x:c r="B38" s="54"/>
      <x:c r="C38" s="54">
        <x:v>283</x:v>
      </x:c>
      <x:c r="D38" s="27" t="s">
        <x:v>1445</x:v>
      </x:c>
      <x:c r="E38" s="27" t="s">
        <x:v>2118</x:v>
      </x:c>
      <x:c r="F38" s="12"/>
    </x:row>
    <x:row r="39" ht="18" customHeight="1">
      <x:c r="A39" s="27" t="s">
        <x:v>294</x:v>
      </x:c>
      <x:c r="B39" s="54"/>
      <x:c r="C39" s="54">
        <x:v>285</x:v>
      </x:c>
      <x:c r="D39" s="27" t="s">
        <x:v>1449</x:v>
      </x:c>
      <x:c r="E39" s="27" t="s">
        <x:v>2128</x:v>
      </x:c>
      <x:c r="F39" s="12"/>
    </x:row>
    <x:row r="40" ht="18" customHeight="1">
      <x:c r="A40" s="27" t="s">
        <x:v>423</x:v>
      </x:c>
      <x:c r="B40" s="54"/>
      <x:c r="C40" s="54">
        <x:v>290</x:v>
      </x:c>
      <x:c r="D40" s="27" t="s">
        <x:v>1451</x:v>
      </x:c>
      <x:c r="E40" s="27" t="s">
        <x:v>2118</x:v>
      </x:c>
      <x:c r="F40" s="12"/>
    </x:row>
    <x:row r="41" ht="18" customHeight="1">
      <x:c r="A41" s="27" t="s">
        <x:v>429</x:v>
      </x:c>
      <x:c r="B41" s="54"/>
      <x:c r="C41" s="54">
        <x:v>291</x:v>
      </x:c>
      <x:c r="D41" s="27" t="s">
        <x:v>1454</x:v>
      </x:c>
      <x:c r="E41" s="27" t="s">
        <x:v>2118</x:v>
      </x:c>
      <x:c r="F41" s="12"/>
    </x:row>
    <x:row r="42" ht="18" customHeight="1">
      <x:c r="A42" s="27" t="s">
        <x:v>406</x:v>
      </x:c>
      <x:c r="B42" s="54"/>
      <x:c r="C42" s="54">
        <x:v>423</x:v>
      </x:c>
      <x:c r="D42" s="27" t="s">
        <x:v>1504</x:v>
      </x:c>
      <x:c r="E42" s="27" t="s">
        <x:v>2114</x:v>
      </x:c>
      <x:c r="F42" s="12"/>
    </x:row>
    <x:row r="43" ht="18" customHeight="1">
      <x:c r="A43" s="27" t="s">
        <x:v>431</x:v>
      </x:c>
      <x:c r="B43" s="54"/>
      <x:c r="C43" s="54">
        <x:v>240</x:v>
      </x:c>
      <x:c r="D43" s="27" t="s">
        <x:v>1437</x:v>
      </x:c>
      <x:c r="E43" s="27" t="s">
        <x:v>2118</x:v>
      </x:c>
      <x:c r="F43" s="12"/>
    </x:row>
    <x:row r="44" ht="18" customHeight="1">
      <x:c r="A44" s="27" t="s">
        <x:v>239</x:v>
      </x:c>
      <x:c r="B44" s="54"/>
      <x:c r="C44" s="54">
        <x:v>3857</x:v>
      </x:c>
      <x:c r="D44" s="27" t="s">
        <x:v>1509</x:v>
      </x:c>
      <x:c r="E44" s="27" t="s">
        <x:v>2115</x:v>
      </x:c>
      <x:c r="F44" s="12"/>
    </x:row>
    <x:row r="45" ht="18" customHeight="1">
      <x:c r="A45" s="27" t="s">
        <x:v>362</x:v>
      </x:c>
      <x:c r="B45" s="54"/>
      <x:c r="C45" s="54">
        <x:v>591</x:v>
      </x:c>
      <x:c r="D45" s="27" t="s">
        <x:v>1546</x:v>
      </x:c>
      <x:c r="E45" s="27" t="s">
        <x:v>2120</x:v>
      </x:c>
      <x:c r="F45" s="12"/>
    </x:row>
    <x:row r="46" ht="18" customHeight="1">
      <x:c r="A46" s="27" t="s">
        <x:v>414</x:v>
      </x:c>
      <x:c r="B46" s="54"/>
      <x:c r="C46" s="54">
        <x:v>455</x:v>
      </x:c>
      <x:c r="D46" s="27" t="s">
        <x:v>1511</x:v>
      </x:c>
      <x:c r="E46" s="27" t="s">
        <x:v>2114</x:v>
      </x:c>
      <x:c r="F46" s="12"/>
    </x:row>
    <x:row r="47" ht="18" customHeight="1">
      <x:c r="A47" s="27" t="s">
        <x:v>427</x:v>
      </x:c>
      <x:c r="B47" s="54"/>
      <x:c r="C47" s="54">
        <x:v>559</x:v>
      </x:c>
      <x:c r="D47" s="27" t="s">
        <x:v>1543</x:v>
      </x:c>
      <x:c r="E47" s="27" t="s">
        <x:v>2118</x:v>
      </x:c>
      <x:c r="F47" s="12"/>
    </x:row>
    <x:row r="48" ht="18" customHeight="1">
      <x:c r="A48" s="27" t="s">
        <x:v>247</x:v>
      </x:c>
      <x:c r="B48" s="54"/>
      <x:c r="C48" s="54">
        <x:v>547</x:v>
      </x:c>
      <x:c r="D48" s="27" t="s">
        <x:v>247</x:v>
      </x:c>
      <x:c r="E48" s="27" t="s">
        <x:v>2127</x:v>
      </x:c>
      <x:c r="F48" s="12"/>
    </x:row>
    <x:row r="49" ht="18" customHeight="1">
      <x:c r="A49" s="27" t="s">
        <x:v>399</x:v>
      </x:c>
      <x:c r="B49" s="54"/>
      <x:c r="C49" s="54">
        <x:v>548</x:v>
      </x:c>
      <x:c r="D49" s="27" t="s">
        <x:v>1538</x:v>
      </x:c>
      <x:c r="E49" s="27" t="s">
        <x:v>2114</x:v>
      </x:c>
      <x:c r="F49" s="12"/>
    </x:row>
    <x:row r="50" ht="18" customHeight="1">
      <x:c r="A50" s="27" t="s">
        <x:v>407</x:v>
      </x:c>
      <x:c r="B50" s="54"/>
      <x:c r="C50" s="54">
        <x:v>552</x:v>
      </x:c>
      <x:c r="D50" s="27" t="s">
        <x:v>1541</x:v>
      </x:c>
      <x:c r="E50" s="27" t="s">
        <x:v>2114</x:v>
      </x:c>
      <x:c r="F50" s="12"/>
    </x:row>
    <x:row r="51" ht="18" customHeight="1">
      <x:c r="A51" s="27" t="s">
        <x:v>367</x:v>
      </x:c>
      <x:c r="B51" s="54"/>
      <x:c r="C51" s="54">
        <x:v>644</x:v>
      </x:c>
      <x:c r="D51" s="27" t="s">
        <x:v>1550</x:v>
      </x:c>
      <x:c r="E51" s="27" t="s">
        <x:v>2120</x:v>
      </x:c>
      <x:c r="F51" s="12"/>
    </x:row>
    <x:row r="52" ht="18" customHeight="1">
      <x:c r="A52" s="27" t="s">
        <x:v>366</x:v>
      </x:c>
      <x:c r="B52" s="54"/>
      <x:c r="C52" s="54">
        <x:v>646</x:v>
      </x:c>
      <x:c r="D52" s="27" t="s">
        <x:v>1554</x:v>
      </x:c>
      <x:c r="E52" s="27" t="s">
        <x:v>2120</x:v>
      </x:c>
      <x:c r="F52" s="12"/>
    </x:row>
    <x:row r="53" ht="18" customHeight="1">
      <x:c r="A53" s="27" t="s">
        <x:v>365</x:v>
      </x:c>
      <x:c r="B53" s="54"/>
      <x:c r="C53" s="54">
        <x:v>516</x:v>
      </x:c>
      <x:c r="D53" s="27" t="s">
        <x:v>1533</x:v>
      </x:c>
      <x:c r="E53" s="27" t="s">
        <x:v>2120</x:v>
      </x:c>
      <x:c r="F53" s="12"/>
    </x:row>
    <x:row r="54" ht="18" customHeight="1">
      <x:c r="A54" s="27" t="s">
        <x:v>421</x:v>
      </x:c>
      <x:c r="B54" s="54"/>
      <x:c r="C54" s="54">
        <x:v>772</x:v>
      </x:c>
      <x:c r="D54" s="27" t="s">
        <x:v>1576</x:v>
      </x:c>
      <x:c r="E54" s="27" t="s">
        <x:v>2118</x:v>
      </x:c>
      <x:c r="F54" s="12"/>
    </x:row>
    <x:row r="55" ht="18" customHeight="1">
      <x:c r="A55" s="27" t="s">
        <x:v>428</x:v>
      </x:c>
      <x:c r="B55" s="54"/>
      <x:c r="C55" s="54">
        <x:v>773</x:v>
      </x:c>
      <x:c r="D55" s="27" t="s">
        <x:v>1580</x:v>
      </x:c>
      <x:c r="E55" s="27" t="s">
        <x:v>2118</x:v>
      </x:c>
      <x:c r="F55" s="12"/>
    </x:row>
    <x:row r="56" ht="18" customHeight="1">
      <x:c r="A56" s="27" t="s">
        <x:v>390</x:v>
      </x:c>
      <x:c r="B56" s="54"/>
      <x:c r="C56" s="54">
        <x:v>478</x:v>
      </x:c>
      <x:c r="D56" s="27" t="s">
        <x:v>1514</x:v>
      </x:c>
      <x:c r="E56" s="27" t="s">
        <x:v>2114</x:v>
      </x:c>
      <x:c r="F56" s="12"/>
    </x:row>
    <x:row r="57" ht="18" customHeight="1">
      <x:c r="A57" s="27" t="s">
        <x:v>418</x:v>
      </x:c>
      <x:c r="B57" s="54"/>
      <x:c r="C57" s="54">
        <x:v>480</x:v>
      </x:c>
      <x:c r="D57" s="27" t="s">
        <x:v>1518</x:v>
      </x:c>
      <x:c r="E57" s="27" t="s">
        <x:v>2114</x:v>
      </x:c>
      <x:c r="F57" s="12"/>
    </x:row>
    <x:row r="58" ht="18" customHeight="1">
      <x:c r="A58" s="27" t="s">
        <x:v>400</x:v>
      </x:c>
      <x:c r="B58" s="54"/>
      <x:c r="C58" s="54">
        <x:v>481</x:v>
      </x:c>
      <x:c r="D58" s="27" t="s">
        <x:v>1521</x:v>
      </x:c>
      <x:c r="E58" s="27" t="s">
        <x:v>2114</x:v>
      </x:c>
      <x:c r="F58" s="12"/>
    </x:row>
    <x:row r="59" ht="18" customHeight="1">
      <x:c r="A59" s="27" t="s">
        <x:v>380</x:v>
      </x:c>
      <x:c r="B59" s="54"/>
      <x:c r="C59" s="54">
        <x:v>716</x:v>
      </x:c>
      <x:c r="D59" s="27" t="s">
        <x:v>1557</x:v>
      </x:c>
      <x:c r="E59" s="27" t="s">
        <x:v>2120</x:v>
      </x:c>
      <x:c r="F59" s="12"/>
    </x:row>
    <x:row r="60" ht="18" customHeight="1">
      <x:c r="A60" s="27" t="s">
        <x:v>370</x:v>
      </x:c>
      <x:c r="B60" s="54"/>
      <x:c r="C60" s="54">
        <x:v>716</x:v>
      </x:c>
      <x:c r="D60" s="27" t="s">
        <x:v>1557</x:v>
      </x:c>
      <x:c r="E60" s="27" t="s">
        <x:v>2120</x:v>
      </x:c>
      <x:c r="F60" s="12"/>
    </x:row>
    <x:row r="61" ht="18" customHeight="1">
      <x:c r="A61" s="27" t="s">
        <x:v>153</x:v>
      </x:c>
      <x:c r="B61" s="54"/>
      <x:c r="C61" s="54">
        <x:v>717</x:v>
      </x:c>
      <x:c r="D61" s="27" t="s">
        <x:v>1560</x:v>
      </x:c>
      <x:c r="E61" s="27" t="s">
        <x:v>2129</x:v>
      </x:c>
      <x:c r="F61" s="12"/>
    </x:row>
    <x:row r="62" ht="18" customHeight="1">
      <x:c r="A62" s="27" t="s">
        <x:v>241</x:v>
      </x:c>
      <x:c r="B62" s="54"/>
      <x:c r="C62" s="54">
        <x:v>748</x:v>
      </x:c>
      <x:c r="D62" s="27" t="s">
        <x:v>1569</x:v>
      </x:c>
      <x:c r="E62" s="27" t="s">
        <x:v>2130</x:v>
      </x:c>
      <x:c r="F62" s="12"/>
    </x:row>
    <x:row r="63" ht="18" customHeight="1">
      <x:c r="A63" s="27" t="s">
        <x:v>415</x:v>
      </x:c>
      <x:c r="B63" s="54"/>
      <x:c r="C63" s="54">
        <x:v>752</x:v>
      </x:c>
      <x:c r="D63" s="27" t="s">
        <x:v>1573</x:v>
      </x:c>
      <x:c r="E63" s="27" t="s">
        <x:v>2114</x:v>
      </x:c>
      <x:c r="F63" s="12"/>
    </x:row>
    <x:row r="64" ht="18" customHeight="1">
      <x:c r="A64" s="27" t="s">
        <x:v>424</x:v>
      </x:c>
      <x:c r="B64" s="54"/>
      <x:c r="C64" s="54">
        <x:v>725</x:v>
      </x:c>
      <x:c r="D64" s="27" t="s">
        <x:v>1562</x:v>
      </x:c>
      <x:c r="E64" s="27" t="s">
        <x:v>2118</x:v>
      </x:c>
      <x:c r="F64" s="12"/>
    </x:row>
    <x:row r="65" ht="18" customHeight="1">
      <x:c r="A65" s="27" t="s">
        <x:v>186</x:v>
      </x:c>
      <x:c r="B65" s="54"/>
      <x:c r="C65" s="54">
        <x:v>730</x:v>
      </x:c>
      <x:c r="D65" s="27" t="s">
        <x:v>186</x:v>
      </x:c>
      <x:c r="E65" s="27" t="s">
        <x:v>2131</x:v>
      </x:c>
      <x:c r="F65" s="12"/>
    </x:row>
    <x:row r="66" ht="18" customHeight="1">
      <x:c r="A66" s="27" t="s">
        <x:v>215</x:v>
      </x:c>
      <x:c r="B66" s="54"/>
      <x:c r="C66" s="54">
        <x:v>731</x:v>
      </x:c>
      <x:c r="D66" s="27" t="s">
        <x:v>215</x:v>
      </x:c>
      <x:c r="E66" s="27" t="s">
        <x:v>2132</x:v>
      </x:c>
      <x:c r="F66" s="12"/>
    </x:row>
    <x:row r="67" ht="18" customHeight="1">
      <x:c r="A67" s="27" t="s">
        <x:v>179</x:v>
      </x:c>
      <x:c r="B67" s="54"/>
      <x:c r="C67" s="54">
        <x:v>739</x:v>
      </x:c>
      <x:c r="D67" s="27" t="s">
        <x:v>179</x:v>
      </x:c>
      <x:c r="E67" s="27" t="s">
        <x:v>2133</x:v>
      </x:c>
      <x:c r="F67" s="12"/>
    </x:row>
    <x:row r="68" ht="18" customHeight="1">
      <x:c r="A68" s="27" t="s">
        <x:v>254</x:v>
      </x:c>
      <x:c r="B68" s="54"/>
      <x:c r="C68" s="54">
        <x:v>813</x:v>
      </x:c>
      <x:c r="D68" s="27" t="s">
        <x:v>1582</x:v>
      </x:c>
      <x:c r="E68" s="27" t="s">
        <x:v>2134</x:v>
      </x:c>
      <x:c r="F68" s="12"/>
    </x:row>
    <x:row r="69" ht="18" customHeight="1">
      <x:c r="A69" s="27" t="s">
        <x:v>271</x:v>
      </x:c>
      <x:c r="B69" s="54"/>
      <x:c r="C69" s="54">
        <x:v>814</x:v>
      </x:c>
      <x:c r="D69" s="27" t="s">
        <x:v>1584</x:v>
      </x:c>
      <x:c r="E69" s="27" t="s">
        <x:v>2135</x:v>
      </x:c>
      <x:c r="F69" s="12"/>
    </x:row>
    <x:row r="70" ht="18" customHeight="1">
      <x:c r="A70" s="27" t="s">
        <x:v>255</x:v>
      </x:c>
      <x:c r="B70" s="54"/>
      <x:c r="C70" s="54">
        <x:v>818</x:v>
      </x:c>
      <x:c r="D70" s="27" t="s">
        <x:v>1586</x:v>
      </x:c>
      <x:c r="E70" s="27" t="s">
        <x:v>2136</x:v>
      </x:c>
      <x:c r="F70" s="12"/>
    </x:row>
    <x:row r="71" ht="18" customHeight="1">
      <x:c r="A71" s="27" t="s">
        <x:v>260</x:v>
      </x:c>
      <x:c r="B71" s="54"/>
      <x:c r="C71" s="54">
        <x:v>819</x:v>
      </x:c>
      <x:c r="D71" s="27" t="s">
        <x:v>1588</x:v>
      </x:c>
      <x:c r="E71" s="27" t="s">
        <x:v>2137</x:v>
      </x:c>
      <x:c r="F71" s="12"/>
    </x:row>
    <x:row r="72" ht="18" customHeight="1">
      <x:c r="A72" s="27" t="s">
        <x:v>262</x:v>
      </x:c>
      <x:c r="B72" s="54"/>
      <x:c r="C72" s="54">
        <x:v>821</x:v>
      </x:c>
      <x:c r="D72" s="27" t="s">
        <x:v>1590</x:v>
      </x:c>
      <x:c r="E72" s="27" t="s">
        <x:v>2137</x:v>
      </x:c>
      <x:c r="F72" s="12"/>
    </x:row>
    <x:row r="73" ht="18" customHeight="1">
      <x:c r="A73" s="27" t="s">
        <x:v>384</x:v>
      </x:c>
      <x:c r="B73" s="54"/>
      <x:c r="C73" s="54">
        <x:v>878</x:v>
      </x:c>
      <x:c r="D73" s="27" t="s">
        <x:v>1602</x:v>
      </x:c>
      <x:c r="E73" s="27" t="s">
        <x:v>2120</x:v>
      </x:c>
      <x:c r="F73" s="12"/>
    </x:row>
    <x:row r="74" ht="18" customHeight="1">
      <x:c r="A74" s="27" t="s">
        <x:v>177</x:v>
      </x:c>
      <x:c r="B74" s="54"/>
      <x:c r="C74" s="54">
        <x:v>490</x:v>
      </x:c>
      <x:c r="D74" s="27" t="s">
        <x:v>1524</x:v>
      </x:c>
      <x:c r="E74" s="27" t="s">
        <x:v>2138</x:v>
      </x:c>
      <x:c r="F74" s="12"/>
    </x:row>
    <x:row r="75" ht="18" customHeight="1">
      <x:c r="A75" s="27" t="s">
        <x:v>205</x:v>
      </x:c>
      <x:c r="B75" s="54"/>
      <x:c r="C75" s="54">
        <x:v>491</x:v>
      </x:c>
      <x:c r="D75" s="27" t="s">
        <x:v>1527</x:v>
      </x:c>
      <x:c r="E75" s="27" t="s">
        <x:v>2139</x:v>
      </x:c>
      <x:c r="F75" s="12"/>
    </x:row>
    <x:row r="76" ht="18" customHeight="1">
      <x:c r="A76" s="27" t="s">
        <x:v>200</x:v>
      </x:c>
      <x:c r="B76" s="54"/>
      <x:c r="C76" s="54">
        <x:v>492</x:v>
      </x:c>
      <x:c r="D76" s="27" t="s">
        <x:v>1529</x:v>
      </x:c>
      <x:c r="E76" s="27" t="s">
        <x:v>2139</x:v>
      </x:c>
      <x:c r="F76" s="12"/>
    </x:row>
    <x:row r="77" ht="18" customHeight="1">
      <x:c r="A77" s="27" t="s">
        <x:v>187</x:v>
      </x:c>
      <x:c r="B77" s="54"/>
      <x:c r="C77" s="54">
        <x:v>496</x:v>
      </x:c>
      <x:c r="D77" s="27" t="s">
        <x:v>1531</x:v>
      </x:c>
      <x:c r="E77" s="27" t="s">
        <x:v>2140</x:v>
      </x:c>
      <x:c r="F77" s="12"/>
    </x:row>
    <x:row r="78" ht="18" customHeight="1">
      <x:c r="A78" s="27" t="s">
        <x:v>301</x:v>
      </x:c>
      <x:c r="B78" s="54"/>
      <x:c r="C78" s="54">
        <x:v>964</x:v>
      </x:c>
      <x:c r="D78" s="27" t="s">
        <x:v>1614</x:v>
      </x:c>
      <x:c r="E78" s="27" t="s">
        <x:v>2141</x:v>
      </x:c>
      <x:c r="F78" s="12"/>
    </x:row>
    <x:row r="79" ht="18" customHeight="1">
      <x:c r="A79" s="27" t="s">
        <x:v>220</x:v>
      </x:c>
      <x:c r="B79" s="54"/>
      <x:c r="C79" s="54">
        <x:v>998</x:v>
      </x:c>
      <x:c r="D79" s="27" t="s">
        <x:v>1617</x:v>
      </x:c>
      <x:c r="E79" s="27" t="s">
        <x:v>2123</x:v>
      </x:c>
      <x:c r="F79" s="12"/>
    </x:row>
    <x:row r="80" ht="18" customHeight="1">
      <x:c r="A80" s="27" t="s">
        <x:v>267</x:v>
      </x:c>
      <x:c r="B80" s="54"/>
      <x:c r="C80" s="54">
        <x:v>1203</x:v>
      </x:c>
      <x:c r="D80" s="27" t="s">
        <x:v>1658</x:v>
      </x:c>
      <x:c r="E80" s="27" t="s">
        <x:v>2142</x:v>
      </x:c>
      <x:c r="F80" s="12"/>
    </x:row>
    <x:row r="81" ht="18" customHeight="1">
      <x:c r="A81" s="27" t="s">
        <x:v>279</x:v>
      </x:c>
      <x:c r="B81" s="54"/>
      <x:c r="C81" s="54">
        <x:v>1204</x:v>
      </x:c>
      <x:c r="D81" s="27" t="s">
        <x:v>1661</x:v>
      </x:c>
      <x:c r="E81" s="27" t="s">
        <x:v>2143</x:v>
      </x:c>
      <x:c r="F81" s="12"/>
    </x:row>
    <x:row r="82" ht="18" customHeight="1">
      <x:c r="A82" s="27" t="s">
        <x:v>273</x:v>
      </x:c>
      <x:c r="B82" s="54"/>
      <x:c r="C82" s="54">
        <x:v>1205</x:v>
      </x:c>
      <x:c r="D82" s="27" t="s">
        <x:v>1663</x:v>
      </x:c>
      <x:c r="E82" s="27" t="s">
        <x:v>2144</x:v>
      </x:c>
      <x:c r="F82" s="12"/>
    </x:row>
    <x:row r="83" ht="18" customHeight="1">
      <x:c r="A83" s="27" t="s">
        <x:v>259</x:v>
      </x:c>
      <x:c r="B83" s="54"/>
      <x:c r="C83" s="54">
        <x:v>1206</x:v>
      </x:c>
      <x:c r="D83" s="27" t="s">
        <x:v>1665</x:v>
      </x:c>
      <x:c r="E83" s="27" t="s">
        <x:v>2137</x:v>
      </x:c>
      <x:c r="F83" s="12"/>
    </x:row>
    <x:row r="84" ht="18" customHeight="1">
      <x:c r="A84" s="27" t="s">
        <x:v>266</x:v>
      </x:c>
      <x:c r="B84" s="54"/>
      <x:c r="C84" s="54">
        <x:v>1211</x:v>
      </x:c>
      <x:c r="D84" s="27" t="s">
        <x:v>1667</x:v>
      </x:c>
      <x:c r="E84" s="27" t="s">
        <x:v>2145</x:v>
      </x:c>
      <x:c r="F84" s="12"/>
    </x:row>
    <x:row r="85" ht="18" customHeight="1">
      <x:c r="A85" s="27" t="s">
        <x:v>280</x:v>
      </x:c>
      <x:c r="B85" s="54"/>
      <x:c r="C85" s="54">
        <x:v>7596</x:v>
      </x:c>
      <x:c r="D85" s="27" t="s">
        <x:v>1668</x:v>
      </x:c>
      <x:c r="E85" s="27" t="s">
        <x:v>2143</x:v>
      </x:c>
      <x:c r="F85" s="12"/>
    </x:row>
    <x:row r="86" ht="18" customHeight="1">
      <x:c r="A86" s="27" t="s">
        <x:v>419</x:v>
      </x:c>
      <x:c r="B86" s="54"/>
      <x:c r="C86" s="54">
        <x:v>1004</x:v>
      </x:c>
      <x:c r="D86" s="27" t="s">
        <x:v>1621</x:v>
      </x:c>
      <x:c r="E86" s="27" t="s">
        <x:v>2114</x:v>
      </x:c>
      <x:c r="F86" s="12"/>
    </x:row>
    <x:row r="87" ht="18" customHeight="1">
      <x:c r="A87" s="27" t="s">
        <x:v>342</x:v>
      </x:c>
      <x:c r="B87" s="54"/>
      <x:c r="C87" s="54">
        <x:v>1089</x:v>
      </x:c>
      <x:c r="D87" s="27" t="s">
        <x:v>1640</x:v>
      </x:c>
      <x:c r="E87" s="27" t="s">
        <x:v>2146</x:v>
      </x:c>
      <x:c r="F87" s="12"/>
    </x:row>
    <x:row r="88" ht="18" customHeight="1">
      <x:c r="A88" s="27" t="s">
        <x:v>50</x:v>
      </x:c>
      <x:c r="B88" s="54"/>
      <x:c r="C88" s="54">
        <x:v>1063</x:v>
      </x:c>
      <x:c r="D88" s="27" t="s">
        <x:v>50</x:v>
      </x:c>
      <x:c r="E88" s="27" t="s">
        <x:v>2111</x:v>
      </x:c>
      <x:c r="F88" s="12"/>
    </x:row>
    <x:row r="89" ht="18" customHeight="1">
      <x:c r="A89" s="27" t="s">
        <x:v>44</x:v>
      </x:c>
      <x:c r="B89" s="54"/>
      <x:c r="C89" s="54">
        <x:v>1064</x:v>
      </x:c>
      <x:c r="D89" s="27" t="s">
        <x:v>44</x:v>
      </x:c>
      <x:c r="E89" s="27" t="s">
        <x:v>2111</x:v>
      </x:c>
      <x:c r="F89" s="12"/>
    </x:row>
    <x:row r="90" ht="18" customHeight="1">
      <x:c r="A90" s="27" t="s">
        <x:v>39</x:v>
      </x:c>
      <x:c r="B90" s="54"/>
      <x:c r="C90" s="54">
        <x:v>1065</x:v>
      </x:c>
      <x:c r="D90" s="27" t="s">
        <x:v>39</x:v>
      </x:c>
      <x:c r="E90" s="27" t="s">
        <x:v>2112</x:v>
      </x:c>
      <x:c r="F90" s="12"/>
    </x:row>
    <x:row r="91" ht="18" customHeight="1">
      <x:c r="A91" s="27" t="s">
        <x:v>56</x:v>
      </x:c>
      <x:c r="B91" s="54"/>
      <x:c r="C91" s="54">
        <x:v>1066</x:v>
      </x:c>
      <x:c r="D91" s="27" t="s">
        <x:v>56</x:v>
      </x:c>
      <x:c r="E91" s="27" t="s">
        <x:v>2117</x:v>
      </x:c>
      <x:c r="F91" s="12"/>
    </x:row>
    <x:row r="92" ht="18" customHeight="1">
      <x:c r="A92" s="27" t="s">
        <x:v>29</x:v>
      </x:c>
      <x:c r="B92" s="54"/>
      <x:c r="C92" s="54">
        <x:v>1070</x:v>
      </x:c>
      <x:c r="D92" s="27" t="s">
        <x:v>29</x:v>
      </x:c>
      <x:c r="E92" s="27" t="s">
        <x:v>2112</x:v>
      </x:c>
      <x:c r="F92" s="12"/>
    </x:row>
    <x:row r="93" ht="18" customHeight="1">
      <x:c r="A93" s="27" t="s">
        <x:v>53</x:v>
      </x:c>
      <x:c r="B93" s="54"/>
      <x:c r="C93" s="54">
        <x:v>838</x:v>
      </x:c>
      <x:c r="D93" s="27" t="s">
        <x:v>1593</x:v>
      </x:c>
      <x:c r="E93" s="27" t="s">
        <x:v>2117</x:v>
      </x:c>
      <x:c r="F93" s="12"/>
    </x:row>
    <x:row r="94" ht="18" customHeight="1">
      <x:c r="A94" s="27" t="s">
        <x:v>33</x:v>
      </x:c>
      <x:c r="B94" s="54"/>
      <x:c r="C94" s="54">
        <x:v>839</x:v>
      </x:c>
      <x:c r="D94" s="27" t="s">
        <x:v>1597</x:v>
      </x:c>
      <x:c r="E94" s="27" t="s">
        <x:v>2112</x:v>
      </x:c>
      <x:c r="F94" s="12"/>
    </x:row>
    <x:row r="95" ht="18" customHeight="1">
      <x:c r="A95" s="27" t="s">
        <x:v>58</x:v>
      </x:c>
      <x:c r="B95" s="54"/>
      <x:c r="C95" s="54">
        <x:v>841</x:v>
      </x:c>
      <x:c r="D95" s="27" t="s">
        <x:v>1599</x:v>
      </x:c>
      <x:c r="E95" s="27" t="s">
        <x:v>2117</x:v>
      </x:c>
      <x:c r="F95" s="12"/>
    </x:row>
    <x:row r="96" ht="18" customHeight="1">
      <x:c r="A96" s="27" t="s">
        <x:v>28</x:v>
      </x:c>
      <x:c r="B96" s="54"/>
      <x:c r="C96" s="54">
        <x:v>846</x:v>
      </x:c>
      <x:c r="D96" s="27" t="s">
        <x:v>1600</x:v>
      </x:c>
      <x:c r="E96" s="27" t="s">
        <x:v>2113</x:v>
      </x:c>
      <x:c r="F96" s="12"/>
    </x:row>
    <x:row r="97" ht="18" customHeight="1">
      <x:c r="A97" s="27" t="s">
        <x:v>83</x:v>
      </x:c>
      <x:c r="B97" s="54"/>
      <x:c r="C97" s="54">
        <x:v>1082</x:v>
      </x:c>
      <x:c r="D97" s="27" t="s">
        <x:v>83</x:v>
      </x:c>
      <x:c r="E97" s="27" t="s">
        <x:v>2147</x:v>
      </x:c>
      <x:c r="F97" s="12"/>
    </x:row>
    <x:row r="98" ht="18" customHeight="1">
      <x:c r="A98" s="27" t="s">
        <x:v>245</x:v>
      </x:c>
      <x:c r="B98" s="54"/>
      <x:c r="C98" s="54">
        <x:v>1124</x:v>
      </x:c>
      <x:c r="D98" s="27" t="s">
        <x:v>1649</x:v>
      </x:c>
      <x:c r="E98" s="27" t="s">
        <x:v>2148</x:v>
      </x:c>
      <x:c r="F98" s="12"/>
    </x:row>
    <x:row r="99" ht="18" customHeight="1">
      <x:c r="A99" s="27" t="s">
        <x:v>352</x:v>
      </x:c>
      <x:c r="B99" s="54"/>
      <x:c r="C99" s="54">
        <x:v>1096</x:v>
      </x:c>
      <x:c r="D99" s="27" t="s">
        <x:v>1643</x:v>
      </x:c>
      <x:c r="E99" s="27" t="s">
        <x:v>2146</x:v>
      </x:c>
      <x:c r="F99" s="12"/>
    </x:row>
    <x:row r="100" ht="18" customHeight="1">
      <x:c r="A100" s="27" t="s">
        <x:v>354</x:v>
      </x:c>
      <x:c r="B100" s="54"/>
      <x:c r="C100" s="54">
        <x:v>1098</x:v>
      </x:c>
      <x:c r="D100" s="27" t="s">
        <x:v>1647</x:v>
      </x:c>
      <x:c r="E100" s="27" t="s">
        <x:v>2146</x:v>
      </x:c>
      <x:c r="F100" s="12"/>
    </x:row>
    <x:row r="101" ht="18" customHeight="1">
      <x:c r="A101" s="27" t="s">
        <x:v>268</x:v>
      </x:c>
      <x:c r="B101" s="54"/>
      <x:c r="C101" s="54">
        <x:v>2002</x:v>
      </x:c>
      <x:c r="D101" s="27" t="s">
        <x:v>1817</x:v>
      </x:c>
      <x:c r="E101" s="27" t="s">
        <x:v>2142</x:v>
      </x:c>
      <x:c r="F101" s="12"/>
    </x:row>
    <x:row r="102" ht="18" customHeight="1">
      <x:c r="A102" s="27" t="s">
        <x:v>250</x:v>
      </x:c>
      <x:c r="B102" s="54"/>
      <x:c r="C102" s="54">
        <x:v>2003</x:v>
      </x:c>
      <x:c r="D102" s="27" t="s">
        <x:v>1819</x:v>
      </x:c>
      <x:c r="E102" s="27" t="s">
        <x:v>2134</x:v>
      </x:c>
      <x:c r="F102" s="12"/>
    </x:row>
    <x:row r="103" ht="18" customHeight="1">
      <x:c r="A103" s="27" t="s">
        <x:v>258</x:v>
      </x:c>
      <x:c r="B103" s="54"/>
      <x:c r="C103" s="54">
        <x:v>2004</x:v>
      </x:c>
      <x:c r="D103" s="27" t="s">
        <x:v>1820</x:v>
      </x:c>
      <x:c r="E103" s="27" t="s">
        <x:v>2149</x:v>
      </x:c>
      <x:c r="F103" s="12"/>
    </x:row>
    <x:row r="104" ht="18" customHeight="1">
      <x:c r="A104" s="27" t="s">
        <x:v>252</x:v>
      </x:c>
      <x:c r="B104" s="54"/>
      <x:c r="C104" s="54">
        <x:v>2005</x:v>
      </x:c>
      <x:c r="D104" s="27" t="s">
        <x:v>1821</x:v>
      </x:c>
      <x:c r="E104" s="27" t="s">
        <x:v>2149</x:v>
      </x:c>
      <x:c r="F104" s="12"/>
    </x:row>
    <x:row r="105" ht="18" customHeight="1">
      <x:c r="A105" s="27" t="s">
        <x:v>270</x:v>
      </x:c>
      <x:c r="B105" s="54"/>
      <x:c r="C105" s="54">
        <x:v>2010</x:v>
      </x:c>
      <x:c r="D105" s="27" t="s">
        <x:v>1822</x:v>
      </x:c>
      <x:c r="E105" s="27" t="s">
        <x:v>2150</x:v>
      </x:c>
      <x:c r="F105" s="12"/>
    </x:row>
    <x:row r="106" ht="18" customHeight="1">
      <x:c r="A106" s="27" t="s">
        <x:v>222</x:v>
      </x:c>
      <x:c r="B106" s="54"/>
      <x:c r="C106" s="54">
        <x:v>1170</x:v>
      </x:c>
      <x:c r="D106" s="27" t="s">
        <x:v>1654</x:v>
      </x:c>
      <x:c r="E106" s="27" t="s">
        <x:v>2151</x:v>
      </x:c>
      <x:c r="F106" s="12"/>
    </x:row>
    <x:row r="107" ht="18" customHeight="1">
      <x:c r="A107" s="27" t="s">
        <x:v>238</x:v>
      </x:c>
      <x:c r="B107" s="54"/>
      <x:c r="C107" s="54">
        <x:v>1171</x:v>
      </x:c>
      <x:c r="D107" s="27" t="s">
        <x:v>1657</x:v>
      </x:c>
      <x:c r="E107" s="27" t="s">
        <x:v>2115</x:v>
      </x:c>
      <x:c r="F107" s="12"/>
    </x:row>
    <x:row r="108" ht="18" customHeight="1">
      <x:c r="A108" s="27" t="s">
        <x:v>229</x:v>
      </x:c>
      <x:c r="B108" s="54" t="s">
        <x:v>2152</x:v>
      </x:c>
      <x:c r="C108" s="54">
        <x:v>423</x:v>
      </x:c>
      <x:c r="D108" s="27" t="s">
        <x:v>1504</x:v>
      </x:c>
      <x:c r="E108" s="27" t="s">
        <x:v>2115</x:v>
      </x:c>
      <x:c r="F108" s="12"/>
    </x:row>
    <x:row r="109" ht="18" customHeight="1">
      <x:c r="A109" s="27" t="s">
        <x:v>229</x:v>
      </x:c>
      <x:c r="B109" s="54" t="s">
        <x:v>2153</x:v>
      </x:c>
      <x:c r="C109" s="54">
        <x:v>1170</x:v>
      </x:c>
      <x:c r="D109" s="27" t="s">
        <x:v>1654</x:v>
      </x:c>
      <x:c r="E109" s="27" t="s">
        <x:v>2115</x:v>
      </x:c>
      <x:c r="F109" s="12"/>
    </x:row>
    <x:row r="110" ht="18" customHeight="1">
      <x:c r="A110" s="27" t="s">
        <x:v>393</x:v>
      </x:c>
      <x:c r="B110" s="54"/>
      <x:c r="C110" s="54">
        <x:v>1338</x:v>
      </x:c>
      <x:c r="D110" s="27" t="s">
        <x:v>1697</x:v>
      </x:c>
      <x:c r="E110" s="27" t="s">
        <x:v>2114</x:v>
      </x:c>
      <x:c r="F110" s="12"/>
    </x:row>
    <x:row r="111" ht="18" customHeight="1">
      <x:c r="A111" s="27" t="s">
        <x:v>426</x:v>
      </x:c>
      <x:c r="B111" s="54"/>
      <x:c r="C111" s="54">
        <x:v>1229</x:v>
      </x:c>
      <x:c r="D111" s="27" t="s">
        <x:v>1671</x:v>
      </x:c>
      <x:c r="E111" s="27" t="s">
        <x:v>2118</x:v>
      </x:c>
      <x:c r="F111" s="12"/>
    </x:row>
    <x:row r="112" ht="18" customHeight="1">
      <x:c r="A112" s="27" t="s">
        <x:v>149</x:v>
      </x:c>
      <x:c r="B112" s="54"/>
      <x:c r="C112" s="54">
        <x:v>1284</x:v>
      </x:c>
      <x:c r="D112" s="27" t="s">
        <x:v>1674</x:v>
      </x:c>
      <x:c r="E112" s="27" t="s">
        <x:v>2129</x:v>
      </x:c>
      <x:c r="F112" s="12"/>
    </x:row>
    <x:row r="113" ht="18" customHeight="1">
      <x:c r="A113" s="27" t="s">
        <x:v>123</x:v>
      </x:c>
      <x:c r="B113" s="54"/>
      <x:c r="C113" s="54">
        <x:v>1286</x:v>
      </x:c>
      <x:c r="D113" s="27" t="s">
        <x:v>1675</x:v>
      </x:c>
      <x:c r="E113" s="27" t="s">
        <x:v>2122</x:v>
      </x:c>
      <x:c r="F113" s="12" t="s">
        <x:v>1677</x:v>
      </x:c>
    </x:row>
    <x:row r="114" ht="18" customHeight="1">
      <x:c r="A114" s="27" t="s">
        <x:v>130</x:v>
      </x:c>
      <x:c r="B114" s="54"/>
      <x:c r="C114" s="54">
        <x:v>1287</x:v>
      </x:c>
      <x:c r="D114" s="27" t="s">
        <x:v>1678</x:v>
      </x:c>
      <x:c r="E114" s="27" t="s">
        <x:v>2125</x:v>
      </x:c>
      <x:c r="F114" s="12" t="s">
        <x:v>1677</x:v>
      </x:c>
    </x:row>
    <x:row r="115" ht="18" customHeight="1">
      <x:c r="A115" s="27" t="s">
        <x:v>134</x:v>
      </x:c>
      <x:c r="B115" s="54"/>
      <x:c r="C115" s="54">
        <x:v>1288</x:v>
      </x:c>
      <x:c r="D115" s="27" t="s">
        <x:v>1679</x:v>
      </x:c>
      <x:c r="E115" s="27" t="s">
        <x:v>2125</x:v>
      </x:c>
      <x:c r="F115" s="12" t="s">
        <x:v>1677</x:v>
      </x:c>
    </x:row>
    <x:row r="116" ht="18" customHeight="1">
      <x:c r="A116" s="27" t="s">
        <x:v>128</x:v>
      </x:c>
      <x:c r="B116" s="54"/>
      <x:c r="C116" s="54">
        <x:v>1289</x:v>
      </x:c>
      <x:c r="D116" s="27" t="s">
        <x:v>1681</x:v>
      </x:c>
      <x:c r="E116" s="27" t="s">
        <x:v>2125</x:v>
      </x:c>
      <x:c r="F116" s="12" t="s">
        <x:v>1677</x:v>
      </x:c>
    </x:row>
    <x:row r="117" ht="18" customHeight="1">
      <x:c r="A117" s="27" t="s">
        <x:v>98</x:v>
      </x:c>
      <x:c r="B117" s="54"/>
      <x:c r="C117" s="54">
        <x:v>1293</x:v>
      </x:c>
      <x:c r="D117" s="27" t="s">
        <x:v>1682</x:v>
      </x:c>
      <x:c r="E117" s="27" t="s">
        <x:v>2124</x:v>
      </x:c>
      <x:c r="F117" s="12"/>
    </x:row>
    <x:row r="118" ht="18" customHeight="1">
      <x:c r="A118" s="27" t="s">
        <x:v>379</x:v>
      </x:c>
      <x:c r="B118" s="54"/>
      <x:c r="C118" s="54">
        <x:v>1297</x:v>
      </x:c>
      <x:c r="D118" s="27" t="s">
        <x:v>1683</x:v>
      </x:c>
      <x:c r="E118" s="27" t="s">
        <x:v>2120</x:v>
      </x:c>
      <x:c r="F118" s="12"/>
    </x:row>
    <x:row r="119" ht="18" customHeight="1">
      <x:c r="A119" s="27" t="s">
        <x:v>156</x:v>
      </x:c>
      <x:c r="B119" s="54"/>
      <x:c r="C119" s="54">
        <x:v>1299</x:v>
      </x:c>
      <x:c r="D119" s="27" t="s">
        <x:v>1686</x:v>
      </x:c>
      <x:c r="E119" s="27" t="s">
        <x:v>2120</x:v>
      </x:c>
      <x:c r="F119" s="12"/>
    </x:row>
    <x:row r="120" ht="18" customHeight="1">
      <x:c r="A120" s="27" t="s">
        <x:v>154</x:v>
      </x:c>
      <x:c r="B120" s="54"/>
      <x:c r="C120" s="54">
        <x:v>1310</x:v>
      </x:c>
      <x:c r="D120" s="27" t="s">
        <x:v>1689</x:v>
      </x:c>
      <x:c r="E120" s="27" t="s">
        <x:v>2129</x:v>
      </x:c>
      <x:c r="F120" s="12"/>
    </x:row>
    <x:row r="121" ht="18" customHeight="1">
      <x:c r="A121" s="27" t="s">
        <x:v>142</x:v>
      </x:c>
      <x:c r="B121" s="54"/>
      <x:c r="C121" s="54">
        <x:v>1311</x:v>
      </x:c>
      <x:c r="D121" s="27" t="s">
        <x:v>142</x:v>
      </x:c>
      <x:c r="E121" s="27" t="s">
        <x:v>2154</x:v>
      </x:c>
      <x:c r="F121" s="12"/>
    </x:row>
    <x:row r="122" ht="18" customHeight="1">
      <x:c r="A122" s="27" t="s">
        <x:v>143</x:v>
      </x:c>
      <x:c r="B122" s="54"/>
      <x:c r="C122" s="54">
        <x:v>1312</x:v>
      </x:c>
      <x:c r="D122" s="27" t="s">
        <x:v>143</x:v>
      </x:c>
      <x:c r="E122" s="27" t="s">
        <x:v>2154</x:v>
      </x:c>
      <x:c r="F122" s="12" t="s">
        <x:v>1677</x:v>
      </x:c>
    </x:row>
    <x:row r="123" ht="18" customHeight="1">
      <x:c r="A123" s="27" t="s">
        <x:v>144</x:v>
      </x:c>
      <x:c r="B123" s="54"/>
      <x:c r="C123" s="54">
        <x:v>1313</x:v>
      </x:c>
      <x:c r="D123" s="27" t="s">
        <x:v>144</x:v>
      </x:c>
      <x:c r="E123" s="27" t="s">
        <x:v>2154</x:v>
      </x:c>
      <x:c r="F123" s="12" t="s">
        <x:v>1677</x:v>
      </x:c>
    </x:row>
    <x:row r="124" ht="18" customHeight="1">
      <x:c r="A124" s="27" t="s">
        <x:v>145</x:v>
      </x:c>
      <x:c r="B124" s="54"/>
      <x:c r="C124" s="54">
        <x:v>1314</x:v>
      </x:c>
      <x:c r="D124" s="27" t="s">
        <x:v>145</x:v>
      </x:c>
      <x:c r="E124" s="27" t="s">
        <x:v>2154</x:v>
      </x:c>
      <x:c r="F124" s="12" t="s">
        <x:v>1677</x:v>
      </x:c>
    </x:row>
    <x:row r="125" ht="18" customHeight="1">
      <x:c r="A125" s="27" t="s">
        <x:v>146</x:v>
      </x:c>
      <x:c r="B125" s="54"/>
      <x:c r="C125" s="54">
        <x:v>1315</x:v>
      </x:c>
      <x:c r="D125" s="27" t="s">
        <x:v>146</x:v>
      </x:c>
      <x:c r="E125" s="27" t="s">
        <x:v>2154</x:v>
      </x:c>
      <x:c r="F125" s="12" t="s">
        <x:v>1677</x:v>
      </x:c>
    </x:row>
    <x:row r="126" ht="18" customHeight="1">
      <x:c r="A126" s="27" t="s">
        <x:v>147</x:v>
      </x:c>
      <x:c r="B126" s="54"/>
      <x:c r="C126" s="54">
        <x:v>1316</x:v>
      </x:c>
      <x:c r="D126" s="27" t="s">
        <x:v>147</x:v>
      </x:c>
      <x:c r="E126" s="27" t="s">
        <x:v>2154</x:v>
      </x:c>
      <x:c r="F126" s="12" t="s">
        <x:v>1677</x:v>
      </x:c>
    </x:row>
    <x:row r="127" ht="18" customHeight="1">
      <x:c r="A127" s="27" t="s">
        <x:v>148</x:v>
      </x:c>
      <x:c r="B127" s="54"/>
      <x:c r="C127" s="54">
        <x:v>1317</x:v>
      </x:c>
      <x:c r="D127" s="27" t="s">
        <x:v>148</x:v>
      </x:c>
      <x:c r="E127" s="27" t="s">
        <x:v>2154</x:v>
      </x:c>
      <x:c r="F127" s="12" t="s">
        <x:v>1677</x:v>
      </x:c>
    </x:row>
    <x:row r="128" ht="18" customHeight="1">
      <x:c r="A128" s="27" t="s">
        <x:v>227</x:v>
      </x:c>
      <x:c r="B128" s="54"/>
      <x:c r="C128" s="54">
        <x:v>1332</x:v>
      </x:c>
      <x:c r="D128" s="27" t="s">
        <x:v>1696</x:v>
      </x:c>
      <x:c r="E128" s="27" t="s">
        <x:v>2155</x:v>
      </x:c>
      <x:c r="F128" s="12"/>
    </x:row>
    <x:row r="129" ht="18" customHeight="1">
      <x:c r="A129" s="27" t="s">
        <x:v>216</x:v>
      </x:c>
      <x:c r="B129" s="54"/>
      <x:c r="C129" s="54">
        <x:v>1345</x:v>
      </x:c>
      <x:c r="D129" s="27" t="s">
        <x:v>1700</x:v>
      </x:c>
      <x:c r="E129" s="27" t="s">
        <x:v>2156</x:v>
      </x:c>
      <x:c r="F129" s="12"/>
    </x:row>
    <x:row r="130" ht="18" customHeight="1">
      <x:c r="A130" s="27" t="s">
        <x:v>381</x:v>
      </x:c>
      <x:c r="B130" s="54"/>
      <x:c r="C130" s="54">
        <x:v>1552</x:v>
      </x:c>
      <x:c r="D130" s="27" t="s">
        <x:v>1725</x:v>
      </x:c>
      <x:c r="E130" s="27" t="s">
        <x:v>2120</x:v>
      </x:c>
      <x:c r="F130" s="12"/>
    </x:row>
    <x:row r="131" ht="18" customHeight="1">
      <x:c r="A131" s="27" t="s">
        <x:v>369</x:v>
      </x:c>
      <x:c r="B131" s="54"/>
      <x:c r="C131" s="54">
        <x:v>1561</x:v>
      </x:c>
      <x:c r="D131" s="27" t="s">
        <x:v>1729</x:v>
      </x:c>
      <x:c r="E131" s="27" t="s">
        <x:v>2120</x:v>
      </x:c>
      <x:c r="F131" s="12"/>
    </x:row>
    <x:row r="132" ht="18" customHeight="1">
      <x:c r="A132" s="27" t="s">
        <x:v>202</x:v>
      </x:c>
      <x:c r="B132" s="54"/>
      <x:c r="C132" s="54">
        <x:v>1923</x:v>
      </x:c>
      <x:c r="D132" s="27" t="s">
        <x:v>1792</x:v>
      </x:c>
      <x:c r="E132" s="27" t="s">
        <x:v>2157</x:v>
      </x:c>
      <x:c r="F132" s="12"/>
    </x:row>
    <x:row r="133" ht="18" customHeight="1">
      <x:c r="A133" s="27" t="s">
        <x:v>192</x:v>
      </x:c>
      <x:c r="B133" s="54"/>
      <x:c r="C133" s="54">
        <x:v>1924</x:v>
      </x:c>
      <x:c r="D133" s="27" t="s">
        <x:v>1795</x:v>
      </x:c>
      <x:c r="E133" s="27" t="s">
        <x:v>2158</x:v>
      </x:c>
      <x:c r="F133" s="12"/>
    </x:row>
    <x:row r="134" ht="18" customHeight="1">
      <x:c r="A134" s="27" t="s">
        <x:v>214</x:v>
      </x:c>
      <x:c r="B134" s="54"/>
      <x:c r="C134" s="54">
        <x:v>1925</x:v>
      </x:c>
      <x:c r="D134" s="27" t="s">
        <x:v>1797</x:v>
      </x:c>
      <x:c r="E134" s="27" t="s">
        <x:v>2132</x:v>
      </x:c>
      <x:c r="F134" s="12" t="s">
        <x:v>1677</x:v>
      </x:c>
    </x:row>
    <x:row r="135" ht="18" customHeight="1">
      <x:c r="A135" s="27" t="s">
        <x:v>203</x:v>
      </x:c>
      <x:c r="B135" s="54"/>
      <x:c r="C135" s="54">
        <x:v>7594</x:v>
      </x:c>
      <x:c r="D135" s="27" t="s">
        <x:v>1798</x:v>
      </x:c>
      <x:c r="E135" s="27" t="s">
        <x:v>2139</x:v>
      </x:c>
      <x:c r="F135" s="12"/>
    </x:row>
    <x:row r="136" ht="18" customHeight="1">
      <x:c r="A136" s="27" t="s">
        <x:v>191</x:v>
      </x:c>
      <x:c r="B136" s="54"/>
      <x:c r="C136" s="54">
        <x:v>1929</x:v>
      </x:c>
      <x:c r="D136" s="27" t="s">
        <x:v>1800</x:v>
      </x:c>
      <x:c r="E136" s="27" t="s">
        <x:v>2159</x:v>
      </x:c>
      <x:c r="F136" s="12"/>
    </x:row>
    <x:row r="137" ht="18" customHeight="1">
      <x:c r="A137" s="27" t="s">
        <x:v>346</x:v>
      </x:c>
      <x:c r="B137" s="54"/>
      <x:c r="C137" s="54">
        <x:v>1487</x:v>
      </x:c>
      <x:c r="D137" s="27" t="s">
        <x:v>1710</x:v>
      </x:c>
      <x:c r="E137" s="27" t="s">
        <x:v>2146</x:v>
      </x:c>
      <x:c r="F137" s="12"/>
    </x:row>
    <x:row r="138" ht="18" customHeight="1">
      <x:c r="A138" s="27" t="s">
        <x:v>433</x:v>
      </x:c>
      <x:c r="B138" s="54"/>
      <x:c r="C138" s="54">
        <x:v>1514</x:v>
      </x:c>
      <x:c r="D138" s="27" t="s">
        <x:v>1713</x:v>
      </x:c>
      <x:c r="E138" s="27" t="s">
        <x:v>2118</x:v>
      </x:c>
      <x:c r="F138" s="12"/>
    </x:row>
    <x:row r="139" ht="18" customHeight="1">
      <x:c r="A139" s="27" t="s">
        <x:v>300</x:v>
      </x:c>
      <x:c r="B139" s="54"/>
      <x:c r="C139" s="54">
        <x:v>1516</x:v>
      </x:c>
      <x:c r="D139" s="27" t="s">
        <x:v>1716</x:v>
      </x:c>
      <x:c r="E139" s="27" t="s">
        <x:v>2141</x:v>
      </x:c>
      <x:c r="F139" s="12"/>
    </x:row>
    <x:row r="140" ht="18" customHeight="1">
      <x:c r="A140" s="27" t="s">
        <x:v>287</x:v>
      </x:c>
      <x:c r="B140" s="54"/>
      <x:c r="C140" s="54">
        <x:v>1524</x:v>
      </x:c>
      <x:c r="D140" s="27" t="s">
        <x:v>1718</x:v>
      </x:c>
      <x:c r="E140" s="27" t="s">
        <x:v>2160</x:v>
      </x:c>
      <x:c r="F140" s="12"/>
    </x:row>
    <x:row r="141" ht="18" customHeight="1">
      <x:c r="A141" s="27" t="s">
        <x:v>137</x:v>
      </x:c>
      <x:c r="B141" s="54"/>
      <x:c r="C141" s="54">
        <x:v>1541</x:v>
      </x:c>
      <x:c r="D141" s="27" t="s">
        <x:v>1719</x:v>
      </x:c>
      <x:c r="E141" s="27" t="s">
        <x:v>2154</x:v>
      </x:c>
      <x:c r="F141" s="12"/>
    </x:row>
    <x:row r="142" ht="18" customHeight="1">
      <x:c r="A142" s="27" t="s">
        <x:v>141</x:v>
      </x:c>
      <x:c r="B142" s="54"/>
      <x:c r="C142" s="54">
        <x:v>1542</x:v>
      </x:c>
      <x:c r="D142" s="27" t="s">
        <x:v>1723</x:v>
      </x:c>
      <x:c r="E142" s="27" t="s">
        <x:v>2154</x:v>
      </x:c>
      <x:c r="F142" s="12"/>
    </x:row>
    <x:row r="143" ht="18" customHeight="1">
      <x:c r="A143" s="27" t="s">
        <x:v>62</x:v>
      </x:c>
      <x:c r="B143" s="54"/>
      <x:c r="C143" s="54">
        <x:v>2472</x:v>
      </x:c>
      <x:c r="D143" s="27" t="s">
        <x:v>1901</x:v>
      </x:c>
      <x:c r="E143" s="27" t="s">
        <x:v>2161</x:v>
      </x:c>
      <x:c r="F143" s="12"/>
    </x:row>
    <x:row r="144" ht="18" customHeight="1">
      <x:c r="A144" s="27" t="s">
        <x:v>66</x:v>
      </x:c>
      <x:c r="B144" s="54"/>
      <x:c r="C144" s="54">
        <x:v>2473</x:v>
      </x:c>
      <x:c r="D144" s="27" t="s">
        <x:v>1903</x:v>
      </x:c>
      <x:c r="E144" s="27" t="s">
        <x:v>2161</x:v>
      </x:c>
      <x:c r="F144" s="12"/>
    </x:row>
    <x:row r="145" ht="18" customHeight="1">
      <x:c r="A145" s="27" t="s">
        <x:v>67</x:v>
      </x:c>
      <x:c r="B145" s="54"/>
      <x:c r="C145" s="54">
        <x:v>2474</x:v>
      </x:c>
      <x:c r="D145" s="27" t="s">
        <x:v>1905</x:v>
      </x:c>
      <x:c r="E145" s="27" t="s">
        <x:v>2162</x:v>
      </x:c>
      <x:c r="F145" s="12" t="s">
        <x:v>1677</x:v>
      </x:c>
    </x:row>
    <x:row r="146" ht="18" customHeight="1">
      <x:c r="A146" s="27" t="s">
        <x:v>68</x:v>
      </x:c>
      <x:c r="B146" s="54"/>
      <x:c r="C146" s="54">
        <x:v>2475</x:v>
      </x:c>
      <x:c r="D146" s="27" t="s">
        <x:v>1906</x:v>
      </x:c>
      <x:c r="E146" s="27" t="s">
        <x:v>2162</x:v>
      </x:c>
      <x:c r="F146" s="12" t="s">
        <x:v>1677</x:v>
      </x:c>
    </x:row>
    <x:row r="147" ht="18" customHeight="1">
      <x:c r="A147" s="27" t="s">
        <x:v>71</x:v>
      </x:c>
      <x:c r="B147" s="54"/>
      <x:c r="C147" s="54">
        <x:v>189</x:v>
      </x:c>
      <x:c r="D147" s="27" t="s">
        <x:v>1433</x:v>
      </x:c>
      <x:c r="E147" s="27" t="s">
        <x:v>2161</x:v>
      </x:c>
      <x:c r="F147" s="12"/>
    </x:row>
    <x:row r="148" ht="18" customHeight="1">
      <x:c r="A148" s="27" t="s">
        <x:v>345</x:v>
      </x:c>
      <x:c r="B148" s="54"/>
      <x:c r="C148" s="54">
        <x:v>1585</x:v>
      </x:c>
      <x:c r="D148" s="27" t="s">
        <x:v>1733</x:v>
      </x:c>
      <x:c r="E148" s="27" t="s">
        <x:v>2146</x:v>
      </x:c>
      <x:c r="F148" s="12"/>
    </x:row>
    <x:row r="149" ht="18" customHeight="1">
      <x:c r="A149" s="27" t="s">
        <x:v>347</x:v>
      </x:c>
      <x:c r="B149" s="54"/>
      <x:c r="C149" s="54">
        <x:v>1589</x:v>
      </x:c>
      <x:c r="D149" s="27" t="s">
        <x:v>1736</x:v>
      </x:c>
      <x:c r="E149" s="27" t="s">
        <x:v>2146</x:v>
      </x:c>
      <x:c r="F149" s="12"/>
    </x:row>
    <x:row r="150" ht="18" customHeight="1">
      <x:c r="A150" s="27" t="s">
        <x:v>138</x:v>
      </x:c>
      <x:c r="B150" s="54"/>
      <x:c r="C150" s="54">
        <x:v>1568</x:v>
      </x:c>
      <x:c r="D150" s="27" t="s">
        <x:v>1732</x:v>
      </x:c>
      <x:c r="E150" s="27" t="s">
        <x:v>2154</x:v>
      </x:c>
      <x:c r="F150" s="12"/>
    </x:row>
    <x:row r="151" ht="18" customHeight="1">
      <x:c r="A151" s="27" t="s">
        <x:v>118</x:v>
      </x:c>
      <x:c r="B151" s="54"/>
      <x:c r="C151" s="54">
        <x:v>2289</x:v>
      </x:c>
      <x:c r="D151" s="27" t="s">
        <x:v>1864</x:v>
      </x:c>
      <x:c r="E151" s="27" t="s">
        <x:v>2122</x:v>
      </x:c>
      <x:c r="F151" s="12"/>
    </x:row>
    <x:row r="152" ht="18" customHeight="1">
      <x:c r="A152" s="27" t="s">
        <x:v>91</x:v>
      </x:c>
      <x:c r="B152" s="54"/>
      <x:c r="C152" s="54">
        <x:v>2290</x:v>
      </x:c>
      <x:c r="D152" s="27" t="s">
        <x:v>1866</x:v>
      </x:c>
      <x:c r="E152" s="27" t="s">
        <x:v>2126</x:v>
      </x:c>
      <x:c r="F152" s="12"/>
    </x:row>
    <x:row r="153" ht="18" customHeight="1">
      <x:c r="A153" s="27" t="s">
        <x:v>111</x:v>
      </x:c>
      <x:c r="B153" s="54"/>
      <x:c r="C153" s="54">
        <x:v>2291</x:v>
      </x:c>
      <x:c r="D153" s="27" t="s">
        <x:v>1867</x:v>
      </x:c>
      <x:c r="E153" s="27" t="s">
        <x:v>2122</x:v>
      </x:c>
      <x:c r="F153" s="12"/>
    </x:row>
    <x:row r="154" ht="18" customHeight="1">
      <x:c r="A154" s="27" t="s">
        <x:v>101</x:v>
      </x:c>
      <x:c r="B154" s="54"/>
      <x:c r="C154" s="54">
        <x:v>2296</x:v>
      </x:c>
      <x:c r="D154" s="27" t="s">
        <x:v>1869</x:v>
      </x:c>
      <x:c r="E154" s="27" t="s">
        <x:v>2124</x:v>
      </x:c>
      <x:c r="F154" s="12"/>
    </x:row>
    <x:row r="155" ht="18" customHeight="1">
      <x:c r="A155" s="27" t="s">
        <x:v>99</x:v>
      </x:c>
      <x:c r="B155" s="54"/>
      <x:c r="C155" s="54">
        <x:v>1046</x:v>
      </x:c>
      <x:c r="D155" s="27" t="s">
        <x:v>1625</x:v>
      </x:c>
      <x:c r="E155" s="27" t="s">
        <x:v>2163</x:v>
      </x:c>
      <x:c r="F155" s="12"/>
    </x:row>
    <x:row r="156" ht="18" customHeight="1">
      <x:c r="A156" s="27" t="s">
        <x:v>106</x:v>
      </x:c>
      <x:c r="B156" s="54"/>
      <x:c r="C156" s="54">
        <x:v>1047</x:v>
      </x:c>
      <x:c r="D156" s="27" t="s">
        <x:v>1628</x:v>
      </x:c>
      <x:c r="E156" s="27" t="s">
        <x:v>2124</x:v>
      </x:c>
      <x:c r="F156" s="12"/>
    </x:row>
    <x:row r="157" ht="18" customHeight="1">
      <x:c r="A157" s="27" t="s">
        <x:v>119</x:v>
      </x:c>
      <x:c r="B157" s="54"/>
      <x:c r="C157" s="54">
        <x:v>1048</x:v>
      </x:c>
      <x:c r="D157" s="27" t="s">
        <x:v>1629</x:v>
      </x:c>
      <x:c r="E157" s="27" t="s">
        <x:v>2122</x:v>
      </x:c>
      <x:c r="F157" s="12"/>
    </x:row>
    <x:row r="158" ht="18" customHeight="1">
      <x:c r="A158" s="27" t="s">
        <x:v>87</x:v>
      </x:c>
      <x:c r="B158" s="54"/>
      <x:c r="C158" s="54">
        <x:v>1049</x:v>
      </x:c>
      <x:c r="D158" s="27" t="s">
        <x:v>1630</x:v>
      </x:c>
      <x:c r="E158" s="27" t="s">
        <x:v>2164</x:v>
      </x:c>
      <x:c r="F158" s="12"/>
    </x:row>
    <x:row r="159" ht="18" customHeight="1">
      <x:c r="A159" s="27" t="s">
        <x:v>93</x:v>
      </x:c>
      <x:c r="B159" s="54"/>
      <x:c r="C159" s="54">
        <x:v>1053</x:v>
      </x:c>
      <x:c r="D159" s="27" t="s">
        <x:v>1631</x:v>
      </x:c>
      <x:c r="E159" s="27" t="s">
        <x:v>2165</x:v>
      </x:c>
      <x:c r="F159" s="12"/>
    </x:row>
    <x:row r="160" ht="18" customHeight="1">
      <x:c r="A160" s="27" t="s">
        <x:v>80</x:v>
      </x:c>
      <x:c r="B160" s="54"/>
      <x:c r="C160" s="54">
        <x:v>1602</x:v>
      </x:c>
      <x:c r="D160" s="27" t="s">
        <x:v>1738</x:v>
      </x:c>
      <x:c r="E160" s="27" t="s">
        <x:v>2147</x:v>
      </x:c>
      <x:c r="F160" s="12"/>
    </x:row>
    <x:row r="161" ht="18" customHeight="1">
      <x:c r="A161" s="27" t="s">
        <x:v>63</x:v>
      </x:c>
      <x:c r="B161" s="54"/>
      <x:c r="C161" s="54">
        <x:v>3441</x:v>
      </x:c>
      <x:c r="D161" s="27" t="s">
        <x:v>2062</x:v>
      </x:c>
      <x:c r="E161" s="27" t="s">
        <x:v>2161</x:v>
      </x:c>
      <x:c r="F161" s="12"/>
    </x:row>
    <x:row r="162" ht="18" customHeight="1">
      <x:c r="A162" s="27" t="s">
        <x:v>73</x:v>
      </x:c>
      <x:c r="B162" s="54"/>
      <x:c r="C162" s="54">
        <x:v>3442</x:v>
      </x:c>
      <x:c r="D162" s="27" t="s">
        <x:v>2064</x:v>
      </x:c>
      <x:c r="E162" s="27" t="s">
        <x:v>2166</x:v>
      </x:c>
      <x:c r="F162" s="12"/>
    </x:row>
    <x:row r="163" ht="18" customHeight="1">
      <x:c r="A163" s="27" t="s">
        <x:v>77</x:v>
      </x:c>
      <x:c r="B163" s="54"/>
      <x:c r="C163" s="54">
        <x:v>3443</x:v>
      </x:c>
      <x:c r="D163" s="27" t="s">
        <x:v>2065</x:v>
      </x:c>
      <x:c r="E163" s="27" t="s">
        <x:v>2147</x:v>
      </x:c>
      <x:c r="F163" s="12"/>
    </x:row>
    <x:row r="164" ht="18" customHeight="1">
      <x:c r="A164" s="27" t="s">
        <x:v>79</x:v>
      </x:c>
      <x:c r="B164" s="54"/>
      <x:c r="C164" s="54">
        <x:v>1698</x:v>
      </x:c>
      <x:c r="D164" s="27" t="s">
        <x:v>1741</x:v>
      </x:c>
      <x:c r="E164" s="27" t="s">
        <x:v>2147</x:v>
      </x:c>
      <x:c r="F164" s="12"/>
    </x:row>
    <x:row r="165" ht="18" customHeight="1">
      <x:c r="A165" s="27" t="s">
        <x:v>65</x:v>
      </x:c>
      <x:c r="B165" s="54"/>
      <x:c r="C165" s="54">
        <x:v>1699</x:v>
      </x:c>
      <x:c r="D165" s="27" t="s">
        <x:v>65</x:v>
      </x:c>
      <x:c r="E165" s="27" t="s">
        <x:v>2162</x:v>
      </x:c>
      <x:c r="F165" s="12"/>
    </x:row>
    <x:row r="166" ht="18" customHeight="1">
      <x:c r="A166" s="27" t="s">
        <x:v>70</x:v>
      </x:c>
      <x:c r="B166" s="54"/>
      <x:c r="C166" s="54">
        <x:v>1700</x:v>
      </x:c>
      <x:c r="D166" s="27" t="s">
        <x:v>70</x:v>
      </x:c>
      <x:c r="E166" s="27" t="s">
        <x:v>2162</x:v>
      </x:c>
      <x:c r="F166" s="12"/>
    </x:row>
    <x:row r="167" ht="18" customHeight="1">
      <x:c r="A167" s="27" t="s">
        <x:v>436</x:v>
      </x:c>
      <x:c r="B167" s="54"/>
      <x:c r="C167" s="54">
        <x:v>1770</x:v>
      </x:c>
      <x:c r="D167" s="27" t="s">
        <x:v>1747</x:v>
      </x:c>
      <x:c r="E167" s="27" t="s">
        <x:v>2118</x:v>
      </x:c>
      <x:c r="F167" s="12"/>
    </x:row>
    <x:row r="168" ht="18" customHeight="1">
      <x:c r="A168" s="27" t="s">
        <x:v>282</x:v>
      </x:c>
      <x:c r="B168" s="54"/>
      <x:c r="C168" s="54">
        <x:v>1772</x:v>
      </x:c>
      <x:c r="D168" s="27" t="s">
        <x:v>1751</x:v>
      </x:c>
      <x:c r="E168" s="27" t="s">
        <x:v>2119</x:v>
      </x:c>
      <x:c r="F168" s="12"/>
    </x:row>
    <x:row r="169" ht="18" customHeight="1">
      <x:c r="A169" s="27" t="s">
        <x:v>432</x:v>
      </x:c>
      <x:c r="B169" s="54"/>
      <x:c r="C169" s="54">
        <x:v>1773</x:v>
      </x:c>
      <x:c r="D169" s="27" t="s">
        <x:v>1754</x:v>
      </x:c>
      <x:c r="E169" s="27" t="s">
        <x:v>2118</x:v>
      </x:c>
      <x:c r="F169" s="12"/>
    </x:row>
    <x:row r="170" ht="18" customHeight="1">
      <x:c r="A170" s="27" t="s">
        <x:v>251</x:v>
      </x:c>
      <x:c r="B170" s="54"/>
      <x:c r="C170" s="54">
        <x:v>1779</x:v>
      </x:c>
      <x:c r="D170" s="27" t="s">
        <x:v>251</x:v>
      </x:c>
      <x:c r="E170" s="27" t="s">
        <x:v>2136</x:v>
      </x:c>
      <x:c r="F170" s="12"/>
    </x:row>
    <x:row r="171" ht="18" customHeight="1">
      <x:c r="A171" s="27" t="s">
        <x:v>265</x:v>
      </x:c>
      <x:c r="B171" s="54"/>
      <x:c r="C171" s="54">
        <x:v>1781</x:v>
      </x:c>
      <x:c r="D171" s="27" t="s">
        <x:v>265</x:v>
      </x:c>
      <x:c r="E171" s="27" t="s">
        <x:v>2167</x:v>
      </x:c>
      <x:c r="F171" s="12"/>
    </x:row>
    <x:row r="172" ht="18" customHeight="1">
      <x:c r="A172" s="27" t="s">
        <x:v>274</x:v>
      </x:c>
      <x:c r="B172" s="54"/>
      <x:c r="C172" s="54">
        <x:v>1782</x:v>
      </x:c>
      <x:c r="D172" s="27" t="s">
        <x:v>274</x:v>
      </x:c>
      <x:c r="E172" s="27" t="s">
        <x:v>2135</x:v>
      </x:c>
      <x:c r="F172" s="12"/>
    </x:row>
    <x:row r="173" ht="18" customHeight="1">
      <x:c r="A173" s="27" t="s">
        <x:v>253</x:v>
      </x:c>
      <x:c r="B173" s="54"/>
      <x:c r="C173" s="54">
        <x:v>1786</x:v>
      </x:c>
      <x:c r="D173" s="27" t="s">
        <x:v>253</x:v>
      </x:c>
      <x:c r="E173" s="27" t="s">
        <x:v>2168</x:v>
      </x:c>
      <x:c r="F173" s="12"/>
    </x:row>
    <x:row r="174" ht="18" customHeight="1">
      <x:c r="A174" s="27" t="s">
        <x:v>47</x:v>
      </x:c>
      <x:c r="B174" s="54"/>
      <x:c r="C174" s="54">
        <x:v>3340</x:v>
      </x:c>
      <x:c r="D174" s="27" t="s">
        <x:v>2042</x:v>
      </x:c>
      <x:c r="E174" s="27" t="s">
        <x:v>2111</x:v>
      </x:c>
      <x:c r="F174" s="12"/>
    </x:row>
    <x:row r="175" ht="18" customHeight="1">
      <x:c r="A175" s="27" t="s">
        <x:v>55</x:v>
      </x:c>
      <x:c r="B175" s="54"/>
      <x:c r="C175" s="54">
        <x:v>3341</x:v>
      </x:c>
      <x:c r="D175" s="27" t="s">
        <x:v>2044</x:v>
      </x:c>
      <x:c r="E175" s="27" t="s">
        <x:v>2117</x:v>
      </x:c>
      <x:c r="F175" s="12"/>
    </x:row>
    <x:row r="176" ht="18" customHeight="1">
      <x:c r="A176" s="27" t="s">
        <x:v>42</x:v>
      </x:c>
      <x:c r="B176" s="54"/>
      <x:c r="C176" s="54">
        <x:v>3342</x:v>
      </x:c>
      <x:c r="D176" s="27" t="s">
        <x:v>2045</x:v>
      </x:c>
      <x:c r="E176" s="27" t="s">
        <x:v>2169</x:v>
      </x:c>
      <x:c r="F176" s="12"/>
    </x:row>
    <x:row r="177" ht="18" customHeight="1">
      <x:c r="A177" s="27" t="s">
        <x:v>41</x:v>
      </x:c>
      <x:c r="B177" s="54"/>
      <x:c r="C177" s="54">
        <x:v>3343</x:v>
      </x:c>
      <x:c r="D177" s="27" t="s">
        <x:v>2047</x:v>
      </x:c>
      <x:c r="E177" s="27" t="s">
        <x:v>2111</x:v>
      </x:c>
      <x:c r="F177" s="12"/>
    </x:row>
    <x:row r="178">
      <x:c r="A178" s="12" t="s">
        <x:v>34</x:v>
      </x:c>
      <x:c r="B178" s="55"/>
      <x:c r="C178" s="55">
        <x:v>3347</x:v>
      </x:c>
      <x:c r="D178" s="12" t="s">
        <x:v>2048</x:v>
      </x:c>
      <x:c r="E178" s="12" t="s">
        <x:v>2112</x:v>
      </x:c>
      <x:c r="F178" s="12"/>
    </x:row>
    <x:row r="179">
      <x:c r="A179" s="12" t="s">
        <x:v>27</x:v>
      </x:c>
      <x:c r="B179" s="55"/>
      <x:c r="C179" s="55">
        <x:v>3348</x:v>
      </x:c>
      <x:c r="D179" s="12" t="s">
        <x:v>2049</x:v>
      </x:c>
      <x:c r="E179" s="12" t="s">
        <x:v>2112</x:v>
      </x:c>
      <x:c r="F179" s="12"/>
    </x:row>
    <x:row r="180">
      <x:c r="A180" s="12" t="s">
        <x:v>293</x:v>
      </x:c>
      <x:c r="B180" s="55"/>
      <x:c r="C180" s="55">
        <x:v>1805</x:v>
      </x:c>
      <x:c r="D180" s="12" t="s">
        <x:v>1766</x:v>
      </x:c>
      <x:c r="E180" s="12" t="s">
        <x:v>2128</x:v>
      </x:c>
      <x:c r="F180" s="12"/>
    </x:row>
    <x:row r="181">
      <x:c r="A181" s="12" t="s">
        <x:v>358</x:v>
      </x:c>
      <x:c r="B181" s="55"/>
      <x:c r="C181" s="55">
        <x:v>1791</x:v>
      </x:c>
      <x:c r="D181" s="12" t="s">
        <x:v>1759</x:v>
      </x:c>
      <x:c r="E181" s="12" t="s">
        <x:v>2120</x:v>
      </x:c>
      <x:c r="F181" s="12"/>
    </x:row>
    <x:row r="182">
      <x:c r="A182" s="12" t="s">
        <x:v>140</x:v>
      </x:c>
      <x:c r="B182" s="55" t="s">
        <x:v>2152</x:v>
      </x:c>
      <x:c r="C182" s="55">
        <x:v>1791</x:v>
      </x:c>
      <x:c r="D182" s="12" t="s">
        <x:v>1759</x:v>
      </x:c>
      <x:c r="E182" s="12" t="s">
        <x:v>2154</x:v>
      </x:c>
      <x:c r="F182" s="12"/>
    </x:row>
    <x:row r="183">
      <x:c r="A183" s="12" t="s">
        <x:v>140</x:v>
      </x:c>
      <x:c r="B183" s="55" t="s">
        <x:v>2153</x:v>
      </x:c>
      <x:c r="C183" s="55">
        <x:v>1792</x:v>
      </x:c>
      <x:c r="D183" s="12" t="s">
        <x:v>1763</x:v>
      </x:c>
      <x:c r="E183" s="12" t="s">
        <x:v>2154</x:v>
      </x:c>
      <x:c r="F183" s="12"/>
    </x:row>
    <x:row r="184">
      <x:c r="A184" s="12" t="s">
        <x:v>350</x:v>
      </x:c>
      <x:c r="B184" s="55"/>
      <x:c r="C184" s="55">
        <x:v>1901</x:v>
      </x:c>
      <x:c r="D184" s="12" t="s">
        <x:v>1790</x:v>
      </x:c>
      <x:c r="E184" s="12" t="s">
        <x:v>2146</x:v>
      </x:c>
      <x:c r="F184" s="12"/>
    </x:row>
    <x:row r="185">
      <x:c r="A185" s="12" t="s">
        <x:v>206</x:v>
      </x:c>
      <x:c r="B185" s="55"/>
      <x:c r="C185" s="55">
        <x:v>1886</x:v>
      </x:c>
      <x:c r="D185" s="12" t="s">
        <x:v>206</x:v>
      </x:c>
      <x:c r="E185" s="12" t="s">
        <x:v>2139</x:v>
      </x:c>
      <x:c r="F185" s="12"/>
    </x:row>
    <x:row r="186">
      <x:c r="A186" s="12" t="s">
        <x:v>209</x:v>
      </x:c>
      <x:c r="B186" s="55"/>
      <x:c r="C186" s="55">
        <x:v>1887</x:v>
      </x:c>
      <x:c r="D186" s="12" t="s">
        <x:v>209</x:v>
      </x:c>
      <x:c r="E186" s="12" t="s">
        <x:v>2132</x:v>
      </x:c>
      <x:c r="F186" s="12"/>
    </x:row>
    <x:row r="187">
      <x:c r="A187" s="12" t="s">
        <x:v>207</x:v>
      </x:c>
      <x:c r="B187" s="55"/>
      <x:c r="C187" s="55">
        <x:v>1889</x:v>
      </x:c>
      <x:c r="D187" s="12" t="s">
        <x:v>207</x:v>
      </x:c>
      <x:c r="E187" s="12" t="s">
        <x:v>2132</x:v>
      </x:c>
      <x:c r="F187" s="12"/>
    </x:row>
    <x:row r="188">
      <x:c r="A188" s="12" t="s">
        <x:v>211</x:v>
      </x:c>
      <x:c r="B188" s="55"/>
      <x:c r="C188" s="55">
        <x:v>1892</x:v>
      </x:c>
      <x:c r="D188" s="12" t="s">
        <x:v>211</x:v>
      </x:c>
      <x:c r="E188" s="12" t="s">
        <x:v>2132</x:v>
      </x:c>
      <x:c r="F188" s="12"/>
    </x:row>
    <x:row r="189">
      <x:c r="A189" s="12" t="s">
        <x:v>243</x:v>
      </x:c>
      <x:c r="B189" s="55"/>
      <x:c r="C189" s="55">
        <x:v>1853</x:v>
      </x:c>
      <x:c r="D189" s="12" t="s">
        <x:v>1781</x:v>
      </x:c>
      <x:c r="E189" s="12" t="s">
        <x:v>2127</x:v>
      </x:c>
      <x:c r="F189" s="12"/>
    </x:row>
    <x:row r="190">
      <x:c r="A190" s="12" t="s">
        <x:v>416</x:v>
      </x:c>
      <x:c r="B190" s="55"/>
      <x:c r="C190" s="55">
        <x:v>1858</x:v>
      </x:c>
      <x:c r="D190" s="12" t="s">
        <x:v>1784</x:v>
      </x:c>
      <x:c r="E190" s="12" t="s">
        <x:v>2114</x:v>
      </x:c>
      <x:c r="F190" s="12"/>
    </x:row>
    <x:row r="191">
      <x:c r="A191" s="12" t="s">
        <x:v>152</x:v>
      </x:c>
      <x:c r="B191" s="55"/>
      <x:c r="C191" s="55">
        <x:v>1968</x:v>
      </x:c>
      <x:c r="D191" s="12" t="s">
        <x:v>1802</x:v>
      </x:c>
      <x:c r="E191" s="12" t="s">
        <x:v>2129</x:v>
      </x:c>
      <x:c r="F191" s="12"/>
    </x:row>
    <x:row r="192">
      <x:c r="A192" s="12" t="s">
        <x:v>75</x:v>
      </x:c>
      <x:c r="B192" s="55"/>
      <x:c r="C192" s="55">
        <x:v>7601</x:v>
      </x:c>
      <x:c r="D192" s="12" t="s">
        <x:v>75</x:v>
      </x:c>
      <x:c r="E192" s="12" t="s">
        <x:v>2147</x:v>
      </x:c>
      <x:c r="F192" s="12"/>
    </x:row>
    <x:row r="193">
      <x:c r="A193" s="12" t="s">
        <x:v>81</x:v>
      </x:c>
      <x:c r="B193" s="55"/>
      <x:c r="C193" s="55">
        <x:v>1914</x:v>
      </x:c>
      <x:c r="D193" s="12" t="s">
        <x:v>1789</x:v>
      </x:c>
      <x:c r="E193" s="12" t="s">
        <x:v>2147</x:v>
      </x:c>
      <x:c r="F193" s="12"/>
    </x:row>
    <x:row r="194">
      <x:c r="A194" s="12" t="s">
        <x:v>82</x:v>
      </x:c>
      <x:c r="B194" s="55"/>
      <x:c r="C194" s="55">
        <x:v>1915</x:v>
      </x:c>
      <x:c r="D194" s="12" t="s">
        <x:v>82</x:v>
      </x:c>
      <x:c r="E194" s="12" t="s">
        <x:v>2147</x:v>
      </x:c>
      <x:c r="F194" s="12"/>
    </x:row>
    <x:row r="195" ht="30">
      <x:c r="A195" s="12" t="s">
        <x:v>72</x:v>
      </x:c>
      <x:c r="B195" s="55"/>
      <x:c r="C195" s="55">
        <x:v>1916</x:v>
      </x:c>
      <x:c r="D195" s="12" t="s">
        <x:v>72</x:v>
      </x:c>
      <x:c r="E195" s="12" t="s">
        <x:v>2170</x:v>
      </x:c>
      <x:c r="F195" s="12"/>
    </x:row>
    <x:row r="196">
      <x:c r="A196" s="12" t="s">
        <x:v>212</x:v>
      </x:c>
      <x:c r="B196" s="55"/>
      <x:c r="C196" s="55">
        <x:v>3466</x:v>
      </x:c>
      <x:c r="D196" s="12" t="s">
        <x:v>2066</x:v>
      </x:c>
      <x:c r="E196" s="12" t="s">
        <x:v>2132</x:v>
      </x:c>
      <x:c r="F196" s="12"/>
    </x:row>
    <x:row r="197" ht="30">
      <x:c r="A197" s="12" t="s">
        <x:v>176</x:v>
      </x:c>
      <x:c r="B197" s="55"/>
      <x:c r="C197" s="55">
        <x:v>3467</x:v>
      </x:c>
      <x:c r="D197" s="12" t="s">
        <x:v>2069</x:v>
      </x:c>
      <x:c r="E197" s="12" t="s">
        <x:v>2138</x:v>
      </x:c>
      <x:c r="F197" s="12"/>
    </x:row>
    <x:row r="198" ht="30">
      <x:c r="A198" s="12" t="s">
        <x:v>198</x:v>
      </x:c>
      <x:c r="B198" s="55"/>
      <x:c r="C198" s="55">
        <x:v>3468</x:v>
      </x:c>
      <x:c r="D198" s="12" t="s">
        <x:v>2071</x:v>
      </x:c>
      <x:c r="E198" s="12" t="s">
        <x:v>2171</x:v>
      </x:c>
      <x:c r="F198" s="12"/>
    </x:row>
    <x:row r="199">
      <x:c r="A199" s="12" t="s">
        <x:v>181</x:v>
      </x:c>
      <x:c r="B199" s="55"/>
      <x:c r="C199" s="55">
        <x:v>3469</x:v>
      </x:c>
      <x:c r="D199" s="12" t="s">
        <x:v>2072</x:v>
      </x:c>
      <x:c r="E199" s="12" t="s">
        <x:v>2172</x:v>
      </x:c>
      <x:c r="F199" s="12" t="s">
        <x:v>1677</x:v>
      </x:c>
    </x:row>
    <x:row r="200" ht="45">
      <x:c r="A200" s="12" t="s">
        <x:v>189</x:v>
      </x:c>
      <x:c r="B200" s="55"/>
      <x:c r="C200" s="55">
        <x:v>3473</x:v>
      </x:c>
      <x:c r="D200" s="12" t="s">
        <x:v>2073</x:v>
      </x:c>
      <x:c r="E200" s="12" t="s">
        <x:v>2173</x:v>
      </x:c>
      <x:c r="F200" s="12"/>
    </x:row>
    <x:row r="201">
      <x:c r="A201" s="12" t="s">
        <x:v>184</x:v>
      </x:c>
      <x:c r="B201" s="55"/>
      <x:c r="C201" s="55">
        <x:v>7593</x:v>
      </x:c>
      <x:c r="D201" s="12" t="s">
        <x:v>2074</x:v>
      </x:c>
      <x:c r="E201" s="12" t="s">
        <x:v>2172</x:v>
      </x:c>
      <x:c r="F201" s="12"/>
    </x:row>
    <x:row r="202">
      <x:c r="A202" s="12" t="s">
        <x:v>417</x:v>
      </x:c>
      <x:c r="B202" s="55"/>
      <x:c r="C202" s="55">
        <x:v>2033</x:v>
      </x:c>
      <x:c r="D202" s="12" t="s">
        <x:v>1826</x:v>
      </x:c>
      <x:c r="E202" s="12" t="s">
        <x:v>2114</x:v>
      </x:c>
      <x:c r="F202" s="12"/>
    </x:row>
    <x:row r="203">
      <x:c r="A203" s="12" t="s">
        <x:v>221</x:v>
      </x:c>
      <x:c r="B203" s="55"/>
      <x:c r="C203" s="55">
        <x:v>2034</x:v>
      </x:c>
      <x:c r="D203" s="12" t="s">
        <x:v>1828</x:v>
      </x:c>
      <x:c r="E203" s="12" t="s">
        <x:v>2174</x:v>
      </x:c>
      <x:c r="F203" s="12"/>
    </x:row>
    <x:row r="204">
      <x:c r="A204" s="12" t="s">
        <x:v>389</x:v>
      </x:c>
      <x:c r="B204" s="55"/>
      <x:c r="C204" s="55">
        <x:v>2038</x:v>
      </x:c>
      <x:c r="D204" s="12" t="s">
        <x:v>1830</x:v>
      </x:c>
      <x:c r="E204" s="12" t="s">
        <x:v>2114</x:v>
      </x:c>
      <x:c r="F204" s="12"/>
    </x:row>
    <x:row r="205">
      <x:c r="A205" s="12" t="s">
        <x:v>397</x:v>
      </x:c>
      <x:c r="B205" s="55"/>
      <x:c r="C205" s="55">
        <x:v>7600</x:v>
      </x:c>
      <x:c r="D205" s="12" t="s">
        <x:v>1832</x:v>
      </x:c>
      <x:c r="E205" s="12" t="s">
        <x:v>2114</x:v>
      </x:c>
      <x:c r="F205" s="12"/>
    </x:row>
    <x:row r="206">
      <x:c r="A206" s="12" t="s">
        <x:v>396</x:v>
      </x:c>
      <x:c r="B206" s="55"/>
      <x:c r="C206" s="55">
        <x:v>2041</x:v>
      </x:c>
      <x:c r="D206" s="12" t="s">
        <x:v>1834</x:v>
      </x:c>
      <x:c r="E206" s="12" t="s">
        <x:v>2114</x:v>
      </x:c>
      <x:c r="F206" s="12"/>
    </x:row>
    <x:row r="207">
      <x:c r="A207" s="12" t="s">
        <x:v>223</x:v>
      </x:c>
      <x:c r="B207" s="55"/>
      <x:c r="C207" s="55">
        <x:v>2032</x:v>
      </x:c>
      <x:c r="D207" s="12" t="s">
        <x:v>223</x:v>
      </x:c>
      <x:c r="E207" s="12" t="s">
        <x:v>2151</x:v>
      </x:c>
      <x:c r="F207" s="12"/>
    </x:row>
    <x:row r="208">
      <x:c r="A208" s="12" t="s">
        <x:v>292</x:v>
      </x:c>
      <x:c r="B208" s="55"/>
      <x:c r="C208" s="55">
        <x:v>2065</x:v>
      </x:c>
      <x:c r="D208" s="12" t="s">
        <x:v>1825</x:v>
      </x:c>
      <x:c r="E208" s="12" t="s">
        <x:v>2128</x:v>
      </x:c>
      <x:c r="F208" s="12"/>
    </x:row>
    <x:row r="209">
      <x:c r="A209" s="12" t="s">
        <x:v>295</x:v>
      </x:c>
      <x:c r="B209" s="55"/>
      <x:c r="C209" s="55">
        <x:v>2072</x:v>
      </x:c>
      <x:c r="D209" s="12" t="s">
        <x:v>295</x:v>
      </x:c>
      <x:c r="E209" s="12" t="s">
        <x:v>2128</x:v>
      </x:c>
      <x:c r="F209" s="12"/>
    </x:row>
    <x:row r="210">
      <x:c r="A210" s="12" t="s">
        <x:v>219</x:v>
      </x:c>
      <x:c r="B210" s="55"/>
      <x:c r="C210" s="55">
        <x:v>2098</x:v>
      </x:c>
      <x:c r="D210" s="12" t="s">
        <x:v>1844</x:v>
      </x:c>
      <x:c r="E210" s="12" t="s">
        <x:v>2174</x:v>
      </x:c>
      <x:c r="F210" s="12"/>
    </x:row>
    <x:row r="211">
      <x:c r="A211" s="12" t="s">
        <x:v>339</x:v>
      </x:c>
      <x:c r="B211" s="55"/>
      <x:c r="C211" s="55">
        <x:v>2171</x:v>
      </x:c>
      <x:c r="D211" s="12" t="s">
        <x:v>1845</x:v>
      </x:c>
      <x:c r="E211" s="12" t="s">
        <x:v>2146</x:v>
      </x:c>
      <x:c r="F211" s="12"/>
    </x:row>
    <x:row r="212">
      <x:c r="A212" s="12" t="s">
        <x:v>348</x:v>
      </x:c>
      <x:c r="B212" s="55"/>
      <x:c r="C212" s="55">
        <x:v>2172</x:v>
      </x:c>
      <x:c r="D212" s="12" t="s">
        <x:v>1849</x:v>
      </x:c>
      <x:c r="E212" s="12" t="s">
        <x:v>2146</x:v>
      </x:c>
      <x:c r="F212" s="12"/>
    </x:row>
    <x:row r="213" ht="30">
      <x:c r="A213" s="12" t="s">
        <x:v>46</x:v>
      </x:c>
      <x:c r="B213" s="55"/>
      <x:c r="C213" s="55">
        <x:v>1827</x:v>
      </x:c>
      <x:c r="D213" s="12" t="s">
        <x:v>1767</x:v>
      </x:c>
      <x:c r="E213" s="12" t="s">
        <x:v>2169</x:v>
      </x:c>
      <x:c r="F213" s="12"/>
    </x:row>
    <x:row r="214">
      <x:c r="A214" s="12" t="s">
        <x:v>35</x:v>
      </x:c>
      <x:c r="B214" s="55"/>
      <x:c r="C214" s="55">
        <x:v>1828</x:v>
      </x:c>
      <x:c r="D214" s="12" t="s">
        <x:v>1771</x:v>
      </x:c>
      <x:c r="E214" s="12" t="s">
        <x:v>2112</x:v>
      </x:c>
      <x:c r="F214" s="12"/>
    </x:row>
    <x:row r="215">
      <x:c r="A215" s="12" t="s">
        <x:v>54</x:v>
      </x:c>
      <x:c r="B215" s="55"/>
      <x:c r="C215" s="55">
        <x:v>1829</x:v>
      </x:c>
      <x:c r="D215" s="12" t="s">
        <x:v>1773</x:v>
      </x:c>
      <x:c r="E215" s="12" t="s">
        <x:v>2117</x:v>
      </x:c>
      <x:c r="F215" s="12"/>
    </x:row>
    <x:row r="216">
      <x:c r="A216" s="12" t="s">
        <x:v>52</x:v>
      </x:c>
      <x:c r="B216" s="55"/>
      <x:c r="C216" s="55">
        <x:v>1830</x:v>
      </x:c>
      <x:c r="D216" s="12" t="s">
        <x:v>1775</x:v>
      </x:c>
      <x:c r="E216" s="12" t="s">
        <x:v>2117</x:v>
      </x:c>
      <x:c r="F216" s="12"/>
    </x:row>
    <x:row r="217">
      <x:c r="A217" s="12" t="s">
        <x:v>57</x:v>
      </x:c>
      <x:c r="B217" s="55"/>
      <x:c r="C217" s="55">
        <x:v>1836</x:v>
      </x:c>
      <x:c r="D217" s="12" t="s">
        <x:v>1777</x:v>
      </x:c>
      <x:c r="E217" s="12" t="s">
        <x:v>2117</x:v>
      </x:c>
      <x:c r="F217" s="12"/>
    </x:row>
    <x:row r="218" ht="30">
      <x:c r="A218" s="12" t="s">
        <x:v>76</x:v>
      </x:c>
      <x:c r="B218" s="55"/>
      <x:c r="C218" s="55">
        <x:v>2208</x:v>
      </x:c>
      <x:c r="D218" s="12" t="s">
        <x:v>1851</x:v>
      </x:c>
      <x:c r="E218" s="12" t="s">
        <x:v>2175</x:v>
      </x:c>
      <x:c r="F218" s="12"/>
    </x:row>
    <x:row r="219">
      <x:c r="A219" s="12" t="s">
        <x:v>272</x:v>
      </x:c>
      <x:c r="B219" s="55"/>
      <x:c r="C219" s="55">
        <x:v>2247</x:v>
      </x:c>
      <x:c r="D219" s="12" t="s">
        <x:v>272</x:v>
      </x:c>
      <x:c r="E219" s="12" t="s">
        <x:v>2135</x:v>
      </x:c>
      <x:c r="F219" s="12"/>
    </x:row>
    <x:row r="220">
      <x:c r="A220" s="12" t="s">
        <x:v>278</x:v>
      </x:c>
      <x:c r="B220" s="55"/>
      <x:c r="C220" s="55">
        <x:v>2251</x:v>
      </x:c>
      <x:c r="D220" s="12" t="s">
        <x:v>278</x:v>
      </x:c>
      <x:c r="E220" s="12" t="s">
        <x:v>2135</x:v>
      </x:c>
      <x:c r="F220" s="12"/>
    </x:row>
    <x:row r="221">
      <x:c r="A221" s="12" t="s">
        <x:v>213</x:v>
      </x:c>
      <x:c r="B221" s="55"/>
      <x:c r="C221" s="55">
        <x:v>2263</x:v>
      </x:c>
      <x:c r="D221" s="12" t="s">
        <x:v>213</x:v>
      </x:c>
      <x:c r="E221" s="12" t="s">
        <x:v>2132</x:v>
      </x:c>
      <x:c r="F221" s="12"/>
    </x:row>
    <x:row r="222">
      <x:c r="A222" s="12" t="s">
        <x:v>208</x:v>
      </x:c>
      <x:c r="B222" s="55"/>
      <x:c r="C222" s="55">
        <x:v>2264</x:v>
      </x:c>
      <x:c r="D222" s="12" t="s">
        <x:v>208</x:v>
      </x:c>
      <x:c r="E222" s="12" t="s">
        <x:v>2132</x:v>
      </x:c>
      <x:c r="F222" s="12"/>
    </x:row>
    <x:row r="223">
      <x:c r="A223" s="12" t="s">
        <x:v>188</x:v>
      </x:c>
      <x:c r="B223" s="55"/>
      <x:c r="C223" s="55">
        <x:v>2265</x:v>
      </x:c>
      <x:c r="D223" s="12" t="s">
        <x:v>188</x:v>
      </x:c>
      <x:c r="E223" s="12" t="s">
        <x:v>2172</x:v>
      </x:c>
      <x:c r="F223" s="12"/>
    </x:row>
    <x:row r="224">
      <x:c r="A224" s="12" t="s">
        <x:v>201</x:v>
      </x:c>
      <x:c r="B224" s="55"/>
      <x:c r="C224" s="55">
        <x:v>2266</x:v>
      </x:c>
      <x:c r="D224" s="12" t="s">
        <x:v>201</x:v>
      </x:c>
      <x:c r="E224" s="12" t="s">
        <x:v>2139</x:v>
      </x:c>
      <x:c r="F224" s="12"/>
    </x:row>
    <x:row r="225">
      <x:c r="A225" s="12" t="s">
        <x:v>193</x:v>
      </x:c>
      <x:c r="B225" s="55"/>
      <x:c r="C225" s="55">
        <x:v>2270</x:v>
      </x:c>
      <x:c r="D225" s="12" t="s">
        <x:v>193</x:v>
      </x:c>
      <x:c r="E225" s="12" t="s">
        <x:v>2158</x:v>
      </x:c>
      <x:c r="F225" s="12"/>
    </x:row>
    <x:row r="226" ht="30">
      <x:c r="A226" s="12" t="s">
        <x:v>102</x:v>
      </x:c>
      <x:c r="B226" s="55"/>
      <x:c r="C226" s="55">
        <x:v>335</x:v>
      </x:c>
      <x:c r="D226" s="12" t="s">
        <x:v>1467</x:v>
      </x:c>
      <x:c r="E226" s="12" t="s">
        <x:v>2176</x:v>
      </x:c>
      <x:c r="F226" s="12"/>
    </x:row>
    <x:row r="227" ht="30">
      <x:c r="A227" s="12" t="s">
        <x:v>114</x:v>
      </x:c>
      <x:c r="B227" s="55"/>
      <x:c r="C227" s="55">
        <x:v>336</x:v>
      </x:c>
      <x:c r="D227" s="12" t="s">
        <x:v>1472</x:v>
      </x:c>
      <x:c r="E227" s="12" t="s">
        <x:v>2177</x:v>
      </x:c>
      <x:c r="F227" s="12"/>
    </x:row>
    <x:row r="228">
      <x:c r="A228" s="12" t="s">
        <x:v>121</x:v>
      </x:c>
      <x:c r="B228" s="55"/>
      <x:c r="C228" s="55">
        <x:v>337</x:v>
      </x:c>
      <x:c r="D228" s="12" t="s">
        <x:v>1474</x:v>
      </x:c>
      <x:c r="E228" s="12" t="s">
        <x:v>2122</x:v>
      </x:c>
      <x:c r="F228" s="12"/>
    </x:row>
    <x:row r="229">
      <x:c r="A229" s="12" t="s">
        <x:v>110</x:v>
      </x:c>
      <x:c r="B229" s="55"/>
      <x:c r="C229" s="55">
        <x:v>338</x:v>
      </x:c>
      <x:c r="D229" s="12" t="s">
        <x:v>1475</x:v>
      </x:c>
      <x:c r="E229" s="12" t="s">
        <x:v>2122</x:v>
      </x:c>
      <x:c r="F229" s="12"/>
    </x:row>
    <x:row r="230" ht="30">
      <x:c r="A230" s="12" t="s">
        <x:v>88</x:v>
      </x:c>
      <x:c r="B230" s="55"/>
      <x:c r="C230" s="55">
        <x:v>342</x:v>
      </x:c>
      <x:c r="D230" s="12" t="s">
        <x:v>1478</x:v>
      </x:c>
      <x:c r="E230" s="12" t="s">
        <x:v>2178</x:v>
      </x:c>
      <x:c r="F230" s="12"/>
    </x:row>
    <x:row r="231">
      <x:c r="A231" s="12" t="s">
        <x:v>90</x:v>
      </x:c>
      <x:c r="B231" s="55"/>
      <x:c r="C231" s="55">
        <x:v>343</x:v>
      </x:c>
      <x:c r="D231" s="12" t="s">
        <x:v>1479</x:v>
      </x:c>
      <x:c r="E231" s="12" t="s">
        <x:v>2126</x:v>
      </x:c>
      <x:c r="F231" s="12"/>
    </x:row>
    <x:row r="232">
      <x:c r="A232" s="12" t="s">
        <x:v>442</x:v>
      </x:c>
      <x:c r="B232" s="55"/>
      <x:c r="C232" s="55">
        <x:v>2286</x:v>
      </x:c>
      <x:c r="D232" s="12" t="s">
        <x:v>1861</x:v>
      </x:c>
      <x:c r="E232" s="12" t="s">
        <x:v>2118</x:v>
      </x:c>
      <x:c r="F232" s="12"/>
    </x:row>
    <x:row r="233">
      <x:c r="A233" s="12" t="s">
        <x:v>64</x:v>
      </x:c>
      <x:c r="B233" s="55"/>
      <x:c r="C233" s="55">
        <x:v>2271</x:v>
      </x:c>
      <x:c r="D233" s="12" t="s">
        <x:v>1858</x:v>
      </x:c>
      <x:c r="E233" s="12" t="s">
        <x:v>2162</x:v>
      </x:c>
      <x:c r="F233" s="12"/>
    </x:row>
    <x:row r="234">
      <x:c r="A234" s="12" t="s">
        <x:v>392</x:v>
      </x:c>
      <x:c r="B234" s="55"/>
      <x:c r="C234" s="55">
        <x:v>2332</x:v>
      </x:c>
      <x:c r="D234" s="12" t="s">
        <x:v>1871</x:v>
      </x:c>
      <x:c r="E234" s="12" t="s">
        <x:v>2114</x:v>
      </x:c>
      <x:c r="F234" s="12"/>
    </x:row>
    <x:row r="235">
      <x:c r="A235" s="12" t="s">
        <x:v>409</x:v>
      </x:c>
      <x:c r="B235" s="55"/>
      <x:c r="C235" s="55">
        <x:v>2334</x:v>
      </x:c>
      <x:c r="D235" s="12" t="s">
        <x:v>1874</x:v>
      </x:c>
      <x:c r="E235" s="12" t="s">
        <x:v>2114</x:v>
      </x:c>
      <x:c r="F235" s="12"/>
    </x:row>
    <x:row r="236">
      <x:c r="A236" s="12" t="s">
        <x:v>391</x:v>
      </x:c>
      <x:c r="B236" s="55"/>
      <x:c r="C236" s="55">
        <x:v>2348</x:v>
      </x:c>
      <x:c r="D236" s="12" t="s">
        <x:v>1877</x:v>
      </x:c>
      <x:c r="E236" s="12" t="s">
        <x:v>2114</x:v>
      </x:c>
      <x:c r="F236" s="12"/>
    </x:row>
    <x:row r="237">
      <x:c r="A237" s="12" t="s">
        <x:v>249</x:v>
      </x:c>
      <x:c r="B237" s="55"/>
      <x:c r="C237" s="55">
        <x:v>2350</x:v>
      </x:c>
      <x:c r="D237" s="12" t="s">
        <x:v>1880</x:v>
      </x:c>
      <x:c r="E237" s="12" t="s">
        <x:v>2127</x:v>
      </x:c>
      <x:c r="F237" s="12"/>
    </x:row>
    <x:row r="238">
      <x:c r="A238" s="12" t="s">
        <x:v>395</x:v>
      </x:c>
      <x:c r="B238" s="55"/>
      <x:c r="C238" s="55">
        <x:v>2351</x:v>
      </x:c>
      <x:c r="D238" s="12" t="s">
        <x:v>1882</x:v>
      </x:c>
      <x:c r="E238" s="12" t="s">
        <x:v>2114</x:v>
      </x:c>
      <x:c r="F238" s="12"/>
    </x:row>
    <x:row r="239">
      <x:c r="A239" s="12" t="s">
        <x:v>388</x:v>
      </x:c>
      <x:c r="B239" s="55"/>
      <x:c r="C239" s="55">
        <x:v>2371</x:v>
      </x:c>
      <x:c r="D239" s="12" t="s">
        <x:v>1892</x:v>
      </x:c>
      <x:c r="E239" s="12" t="s">
        <x:v>2114</x:v>
      </x:c>
      <x:c r="F239" s="12"/>
    </x:row>
    <x:row r="240">
      <x:c r="A240" s="12" t="s">
        <x:v>413</x:v>
      </x:c>
      <x:c r="B240" s="55"/>
      <x:c r="C240" s="55">
        <x:v>2374</x:v>
      </x:c>
      <x:c r="D240" s="12" t="s">
        <x:v>1896</x:v>
      </x:c>
      <x:c r="E240" s="12" t="s">
        <x:v>2114</x:v>
      </x:c>
      <x:c r="F240" s="12"/>
    </x:row>
    <x:row r="241">
      <x:c r="A241" s="12" t="s">
        <x:v>353</x:v>
      </x:c>
      <x:c r="B241" s="55"/>
      <x:c r="C241" s="55">
        <x:v>2366</x:v>
      </x:c>
      <x:c r="D241" s="12" t="s">
        <x:v>1884</x:v>
      </x:c>
      <x:c r="E241" s="12" t="s">
        <x:v>2146</x:v>
      </x:c>
      <x:c r="F241" s="12"/>
    </x:row>
    <x:row r="242">
      <x:c r="A242" s="12" t="s">
        <x:v>85</x:v>
      </x:c>
      <x:c r="B242" s="55"/>
      <x:c r="C242" s="55">
        <x:v>2367</x:v>
      </x:c>
      <x:c r="D242" s="12" t="s">
        <x:v>1887</x:v>
      </x:c>
      <x:c r="E242" s="12" t="s">
        <x:v>2147</x:v>
      </x:c>
      <x:c r="F242" s="12"/>
    </x:row>
    <x:row r="243">
      <x:c r="A243" s="12" t="s">
        <x:v>355</x:v>
      </x:c>
      <x:c r="B243" s="55"/>
      <x:c r="C243" s="55">
        <x:v>2368</x:v>
      </x:c>
      <x:c r="D243" s="12" t="s">
        <x:v>1889</x:v>
      </x:c>
      <x:c r="E243" s="12" t="s">
        <x:v>2146</x:v>
      </x:c>
      <x:c r="F243" s="12"/>
    </x:row>
    <x:row r="244" ht="30">
      <x:c r="A244" s="12" t="s">
        <x:v>297</x:v>
      </x:c>
      <x:c r="B244" s="55"/>
      <x:c r="C244" s="55">
        <x:v>2511</x:v>
      </x:c>
      <x:c r="D244" s="12" t="s">
        <x:v>1907</x:v>
      </x:c>
      <x:c r="E244" s="12" t="s">
        <x:v>2179</x:v>
      </x:c>
      <x:c r="F244" s="12"/>
    </x:row>
    <x:row r="245">
      <x:c r="A245" s="12" t="s">
        <x:v>303</x:v>
      </x:c>
      <x:c r="B245" s="55"/>
      <x:c r="C245" s="55">
        <x:v>2512</x:v>
      </x:c>
      <x:c r="D245" s="12" t="s">
        <x:v>303</x:v>
      </x:c>
      <x:c r="E245" s="12" t="s">
        <x:v>2180</x:v>
      </x:c>
      <x:c r="F245" s="12"/>
    </x:row>
    <x:row r="246">
      <x:c r="A246" s="12" t="s">
        <x:v>84</x:v>
      </x:c>
      <x:c r="B246" s="55"/>
      <x:c r="C246" s="55">
        <x:v>2535</x:v>
      </x:c>
      <x:c r="D246" s="12" t="s">
        <x:v>1918</x:v>
      </x:c>
      <x:c r="E246" s="12" t="s">
        <x:v>2147</x:v>
      </x:c>
      <x:c r="F246" s="12"/>
    </x:row>
    <x:row r="247">
      <x:c r="A247" s="12" t="s">
        <x:v>441</x:v>
      </x:c>
      <x:c r="B247" s="55"/>
      <x:c r="C247" s="55">
        <x:v>2525</x:v>
      </x:c>
      <x:c r="D247" s="12" t="s">
        <x:v>1915</x:v>
      </x:c>
      <x:c r="E247" s="12" t="s">
        <x:v>2118</x:v>
      </x:c>
      <x:c r="F247" s="12"/>
    </x:row>
    <x:row r="248">
      <x:c r="A248" s="12" t="s">
        <x:v>344</x:v>
      </x:c>
      <x:c r="B248" s="55"/>
      <x:c r="C248" s="55">
        <x:v>2424</x:v>
      </x:c>
      <x:c r="D248" s="12" t="s">
        <x:v>1898</x:v>
      </x:c>
      <x:c r="E248" s="12" t="s">
        <x:v>2146</x:v>
      </x:c>
      <x:c r="F248" s="12"/>
    </x:row>
    <x:row r="249">
      <x:c r="A249" s="12" t="s">
        <x:v>116</x:v>
      </x:c>
      <x:c r="B249" s="55"/>
      <x:c r="C249" s="55">
        <x:v>2557</x:v>
      </x:c>
      <x:c r="D249" s="12" t="s">
        <x:v>116</x:v>
      </x:c>
      <x:c r="E249" s="12" t="s">
        <x:v>2122</x:v>
      </x:c>
      <x:c r="F249" s="12"/>
    </x:row>
    <x:row r="250">
      <x:c r="A250" s="12" t="s">
        <x:v>135</x:v>
      </x:c>
      <x:c r="B250" s="55"/>
      <x:c r="C250" s="55">
        <x:v>2558</x:v>
      </x:c>
      <x:c r="D250" s="12" t="s">
        <x:v>135</x:v>
      </x:c>
      <x:c r="E250" s="12" t="s">
        <x:v>2125</x:v>
      </x:c>
      <x:c r="F250" s="12"/>
    </x:row>
    <x:row r="251">
      <x:c r="A251" s="12" t="s">
        <x:v>109</x:v>
      </x:c>
      <x:c r="B251" s="55"/>
      <x:c r="C251" s="55">
        <x:v>2559</x:v>
      </x:c>
      <x:c r="D251" s="12" t="s">
        <x:v>109</x:v>
      </x:c>
      <x:c r="E251" s="12" t="s">
        <x:v>2124</x:v>
      </x:c>
      <x:c r="F251" s="12"/>
    </x:row>
    <x:row r="252">
      <x:c r="A252" s="12" t="s">
        <x:v>131</x:v>
      </x:c>
      <x:c r="B252" s="55"/>
      <x:c r="C252" s="55">
        <x:v>2563</x:v>
      </x:c>
      <x:c r="D252" s="12" t="s">
        <x:v>131</x:v>
      </x:c>
      <x:c r="E252" s="12" t="s">
        <x:v>2125</x:v>
      </x:c>
      <x:c r="F252" s="12"/>
    </x:row>
    <x:row r="253">
      <x:c r="A253" s="12" t="s">
        <x:v>372</x:v>
      </x:c>
      <x:c r="B253" s="55"/>
      <x:c r="C253" s="55">
        <x:v>2491</x:v>
      </x:c>
      <x:c r="D253" s="12" t="s">
        <x:v>1909</x:v>
      </x:c>
      <x:c r="E253" s="12" t="s">
        <x:v>2120</x:v>
      </x:c>
      <x:c r="F253" s="12"/>
    </x:row>
    <x:row r="254">
      <x:c r="A254" s="12" t="s">
        <x:v>375</x:v>
      </x:c>
      <x:c r="B254" s="55"/>
      <x:c r="C254" s="55">
        <x:v>7602</x:v>
      </x:c>
      <x:c r="D254" s="12" t="s">
        <x:v>1912</x:v>
      </x:c>
      <x:c r="E254" s="12" t="s">
        <x:v>2120</x:v>
      </x:c>
      <x:c r="F254" s="12"/>
    </x:row>
    <x:row r="255">
      <x:c r="A255" s="12" t="s">
        <x:v>412</x:v>
      </x:c>
      <x:c r="B255" s="55"/>
      <x:c r="C255" s="55">
        <x:v>2697</x:v>
      </x:c>
      <x:c r="D255" s="12" t="s">
        <x:v>1943</x:v>
      </x:c>
      <x:c r="E255" s="12" t="s">
        <x:v>2114</x:v>
      </x:c>
      <x:c r="F255" s="12"/>
    </x:row>
    <x:row r="256">
      <x:c r="A256" s="12" t="s">
        <x:v>410</x:v>
      </x:c>
      <x:c r="B256" s="55"/>
      <x:c r="C256" s="55">
        <x:v>7597</x:v>
      </x:c>
      <x:c r="D256" s="12" t="s">
        <x:v>1945</x:v>
      </x:c>
      <x:c r="E256" s="12" t="s">
        <x:v>2114</x:v>
      </x:c>
      <x:c r="F256" s="12"/>
    </x:row>
    <x:row r="257">
      <x:c r="A257" s="12" t="s">
        <x:v>237</x:v>
      </x:c>
      <x:c r="B257" s="55"/>
      <x:c r="C257" s="55">
        <x:v>2693</x:v>
      </x:c>
      <x:c r="D257" s="12" t="s">
        <x:v>237</x:v>
      </x:c>
      <x:c r="E257" s="12" t="s">
        <x:v>2115</x:v>
      </x:c>
      <x:c r="F257" s="12"/>
    </x:row>
    <x:row r="258">
      <x:c r="A258" s="12" t="s">
        <x:v>226</x:v>
      </x:c>
      <x:c r="B258" s="55"/>
      <x:c r="C258" s="55">
        <x:v>2710</x:v>
      </x:c>
      <x:c r="D258" s="12" t="s">
        <x:v>1935</x:v>
      </x:c>
      <x:c r="E258" s="12" t="s">
        <x:v>2151</x:v>
      </x:c>
      <x:c r="F258" s="12"/>
    </x:row>
    <x:row r="259">
      <x:c r="A259" s="12" t="s">
        <x:v>230</x:v>
      </x:c>
      <x:c r="B259" s="55"/>
      <x:c r="C259" s="55">
        <x:v>2711</x:v>
      </x:c>
      <x:c r="D259" s="12" t="s">
        <x:v>230</x:v>
      </x:c>
      <x:c r="E259" s="12" t="s">
        <x:v>2115</x:v>
      </x:c>
      <x:c r="F259" s="12"/>
    </x:row>
    <x:row r="260">
      <x:c r="A260" s="12" t="s">
        <x:v>231</x:v>
      </x:c>
      <x:c r="B260" s="55"/>
      <x:c r="C260" s="55">
        <x:v>2712</x:v>
      </x:c>
      <x:c r="D260" s="12" t="s">
        <x:v>231</x:v>
      </x:c>
      <x:c r="E260" s="12" t="s">
        <x:v>2115</x:v>
      </x:c>
      <x:c r="F260" s="12" t="s">
        <x:v>1677</x:v>
      </x:c>
    </x:row>
    <x:row r="261">
      <x:c r="A261" s="12" t="s">
        <x:v>232</x:v>
      </x:c>
      <x:c r="B261" s="55"/>
      <x:c r="C261" s="55">
        <x:v>2713</x:v>
      </x:c>
      <x:c r="D261" s="12" t="s">
        <x:v>232</x:v>
      </x:c>
      <x:c r="E261" s="12" t="s">
        <x:v>2115</x:v>
      </x:c>
      <x:c r="F261" s="12" t="s">
        <x:v>1677</x:v>
      </x:c>
    </x:row>
    <x:row r="262">
      <x:c r="A262" s="12" t="s">
        <x:v>233</x:v>
      </x:c>
      <x:c r="B262" s="55"/>
      <x:c r="C262" s="55">
        <x:v>2714</x:v>
      </x:c>
      <x:c r="D262" s="12" t="s">
        <x:v>233</x:v>
      </x:c>
      <x:c r="E262" s="12" t="s">
        <x:v>2115</x:v>
      </x:c>
      <x:c r="F262" s="12" t="s">
        <x:v>1677</x:v>
      </x:c>
    </x:row>
    <x:row r="263">
      <x:c r="A263" s="12" t="s">
        <x:v>234</x:v>
      </x:c>
      <x:c r="B263" s="55"/>
      <x:c r="C263" s="55">
        <x:v>2715</x:v>
      </x:c>
      <x:c r="D263" s="12" t="s">
        <x:v>234</x:v>
      </x:c>
      <x:c r="E263" s="12" t="s">
        <x:v>2115</x:v>
      </x:c>
      <x:c r="F263" s="12" t="s">
        <x:v>1677</x:v>
      </x:c>
    </x:row>
    <x:row r="264">
      <x:c r="A264" s="12" t="s">
        <x:v>235</x:v>
      </x:c>
      <x:c r="B264" s="55"/>
      <x:c r="C264" s="55">
        <x:v>2716</x:v>
      </x:c>
      <x:c r="D264" s="12" t="s">
        <x:v>235</x:v>
      </x:c>
      <x:c r="E264" s="12" t="s">
        <x:v>2115</x:v>
      </x:c>
      <x:c r="F264" s="12" t="s">
        <x:v>1677</x:v>
      </x:c>
    </x:row>
    <x:row r="265">
      <x:c r="A265" s="12" t="s">
        <x:v>236</x:v>
      </x:c>
      <x:c r="B265" s="55"/>
      <x:c r="C265" s="55">
        <x:v>2717</x:v>
      </x:c>
      <x:c r="D265" s="12" t="s">
        <x:v>236</x:v>
      </x:c>
      <x:c r="E265" s="12" t="s">
        <x:v>2115</x:v>
      </x:c>
      <x:c r="F265" s="12" t="s">
        <x:v>1677</x:v>
      </x:c>
    </x:row>
    <x:row r="266">
      <x:c r="A266" s="12" t="s">
        <x:v>385</x:v>
      </x:c>
      <x:c r="B266" s="55"/>
      <x:c r="C266" s="55">
        <x:v>2837</x:v>
      </x:c>
      <x:c r="D266" s="12" t="s">
        <x:v>1956</x:v>
      </x:c>
      <x:c r="E266" s="12" t="s">
        <x:v>2120</x:v>
      </x:c>
      <x:c r="F266" s="12"/>
    </x:row>
    <x:row r="267">
      <x:c r="A267" s="12" t="s">
        <x:v>383</x:v>
      </x:c>
      <x:c r="B267" s="55"/>
      <x:c r="C267" s="55">
        <x:v>2839</x:v>
      </x:c>
      <x:c r="D267" s="12" t="s">
        <x:v>1959</x:v>
      </x:c>
      <x:c r="E267" s="12" t="s">
        <x:v>2120</x:v>
      </x:c>
      <x:c r="F267" s="12"/>
    </x:row>
    <x:row r="268">
      <x:c r="A268" s="12" t="s">
        <x:v>343</x:v>
      </x:c>
      <x:c r="B268" s="55"/>
      <x:c r="C268" s="55">
        <x:v>3010</x:v>
      </x:c>
      <x:c r="D268" s="12" t="s">
        <x:v>1985</x:v>
      </x:c>
      <x:c r="E268" s="12" t="s">
        <x:v>2146</x:v>
      </x:c>
      <x:c r="F268" s="12"/>
    </x:row>
    <x:row r="269">
      <x:c r="A269" s="12" t="s">
        <x:v>341</x:v>
      </x:c>
      <x:c r="B269" s="55"/>
      <x:c r="C269" s="55">
        <x:v>3398</x:v>
      </x:c>
      <x:c r="D269" s="12" t="s">
        <x:v>2054</x:v>
      </x:c>
      <x:c r="E269" s="12" t="s">
        <x:v>2146</x:v>
      </x:c>
      <x:c r="F269" s="12"/>
    </x:row>
    <x:row r="270">
      <x:c r="A270" s="12" t="s">
        <x:v>126</x:v>
      </x:c>
      <x:c r="B270" s="55"/>
      <x:c r="C270" s="55">
        <x:v>2887</x:v>
      </x:c>
      <x:c r="D270" s="12" t="s">
        <x:v>126</x:v>
      </x:c>
      <x:c r="E270" s="12" t="s">
        <x:v>2122</x:v>
      </x:c>
      <x:c r="F270" s="12"/>
    </x:row>
    <x:row r="271">
      <x:c r="A271" s="12" t="s">
        <x:v>113</x:v>
      </x:c>
      <x:c r="B271" s="55"/>
      <x:c r="C271" s="55">
        <x:v>2888</x:v>
      </x:c>
      <x:c r="D271" s="12" t="s">
        <x:v>113</x:v>
      </x:c>
      <x:c r="E271" s="12" t="s">
        <x:v>2122</x:v>
      </x:c>
      <x:c r="F271" s="12"/>
    </x:row>
    <x:row r="272">
      <x:c r="A272" s="12" t="s">
        <x:v>104</x:v>
      </x:c>
      <x:c r="B272" s="55"/>
      <x:c r="C272" s="55">
        <x:v>2892</x:v>
      </x:c>
      <x:c r="D272" s="12" t="s">
        <x:v>104</x:v>
      </x:c>
      <x:c r="E272" s="12" t="s">
        <x:v>2124</x:v>
      </x:c>
      <x:c r="F272" s="12"/>
    </x:row>
    <x:row r="273">
      <x:c r="A273" s="12" t="s">
        <x:v>133</x:v>
      </x:c>
      <x:c r="B273" s="55"/>
      <x:c r="C273" s="55">
        <x:v>7590</x:v>
      </x:c>
      <x:c r="D273" s="12" t="s">
        <x:v>133</x:v>
      </x:c>
      <x:c r="E273" s="12" t="s">
        <x:v>2125</x:v>
      </x:c>
      <x:c r="F273" s="12"/>
    </x:row>
    <x:row r="274">
      <x:c r="A274" s="12" t="s">
        <x:v>151</x:v>
      </x:c>
      <x:c r="B274" s="55"/>
      <x:c r="C274" s="55">
        <x:v>2911</x:v>
      </x:c>
      <x:c r="D274" s="12" t="s">
        <x:v>1967</x:v>
      </x:c>
      <x:c r="E274" s="12" t="s">
        <x:v>2129</x:v>
      </x:c>
      <x:c r="F274" s="12"/>
    </x:row>
    <x:row r="275">
      <x:c r="A275" s="12" t="s">
        <x:v>371</x:v>
      </x:c>
      <x:c r="B275" s="55"/>
      <x:c r="C275" s="55">
        <x:v>2901</x:v>
      </x:c>
      <x:c r="D275" s="12" t="s">
        <x:v>1968</x:v>
      </x:c>
      <x:c r="E275" s="12" t="s">
        <x:v>2120</x:v>
      </x:c>
      <x:c r="F275" s="12"/>
    </x:row>
    <x:row r="276">
      <x:c r="A276" s="12" t="s">
        <x:v>150</x:v>
      </x:c>
      <x:c r="B276" s="55"/>
      <x:c r="C276" s="55">
        <x:v>2902</x:v>
      </x:c>
      <x:c r="D276" s="12" t="s">
        <x:v>1973</x:v>
      </x:c>
      <x:c r="E276" s="12" t="s">
        <x:v>2181</x:v>
      </x:c>
      <x:c r="F276" s="12"/>
    </x:row>
    <x:row r="277">
      <x:c r="A277" s="12" t="s">
        <x:v>368</x:v>
      </x:c>
      <x:c r="B277" s="55"/>
      <x:c r="C277" s="55">
        <x:v>7737</x:v>
      </x:c>
      <x:c r="D277" s="12" t="s">
        <x:v>1976</x:v>
      </x:c>
      <x:c r="E277" s="12" t="s">
        <x:v>2120</x:v>
      </x:c>
      <x:c r="F277" s="12"/>
    </x:row>
    <x:row r="278">
      <x:c r="A278" s="12" t="s">
        <x:v>438</x:v>
      </x:c>
      <x:c r="B278" s="55"/>
      <x:c r="C278" s="55">
        <x:v>2995</x:v>
      </x:c>
      <x:c r="D278" s="12" t="s">
        <x:v>1981</x:v>
      </x:c>
      <x:c r="E278" s="12" t="s">
        <x:v>2118</x:v>
      </x:c>
      <x:c r="F278" s="12"/>
    </x:row>
    <x:row r="279">
      <x:c r="A279" s="12" t="s">
        <x:v>408</x:v>
      </x:c>
      <x:c r="B279" s="55"/>
      <x:c r="C279" s="55">
        <x:v>2939</x:v>
      </x:c>
      <x:c r="D279" s="12" t="s">
        <x:v>1978</x:v>
      </x:c>
      <x:c r="E279" s="12" t="s">
        <x:v>2114</x:v>
      </x:c>
      <x:c r="F279" s="12"/>
    </x:row>
    <x:row r="280">
      <x:c r="A280" s="12" t="s">
        <x:v>78</x:v>
      </x:c>
      <x:c r="B280" s="55"/>
      <x:c r="C280" s="55">
        <x:v>3059</x:v>
      </x:c>
      <x:c r="D280" s="12" t="s">
        <x:v>1997</x:v>
      </x:c>
      <x:c r="E280" s="12" t="s">
        <x:v>2147</x:v>
      </x:c>
      <x:c r="F280" s="12"/>
    </x:row>
    <x:row r="281">
      <x:c r="A281" s="12" t="s">
        <x:v>351</x:v>
      </x:c>
      <x:c r="B281" s="55"/>
      <x:c r="C281" s="55">
        <x:v>3061</x:v>
      </x:c>
      <x:c r="D281" s="12" t="s">
        <x:v>2000</x:v>
      </x:c>
      <x:c r="E281" s="12" t="s">
        <x:v>2146</x:v>
      </x:c>
      <x:c r="F281" s="12"/>
    </x:row>
    <x:row r="282">
      <x:c r="A282" s="12" t="s">
        <x:v>425</x:v>
      </x:c>
      <x:c r="B282" s="55"/>
      <x:c r="C282" s="55">
        <x:v>3035</x:v>
      </x:c>
      <x:c r="D282" s="12" t="s">
        <x:v>1988</x:v>
      </x:c>
      <x:c r="E282" s="12" t="s">
        <x:v>2118</x:v>
      </x:c>
      <x:c r="F282" s="12"/>
    </x:row>
    <x:row r="283">
      <x:c r="A283" s="12" t="s">
        <x:v>289</x:v>
      </x:c>
      <x:c r="B283" s="55"/>
      <x:c r="C283" s="55">
        <x:v>3037</x:v>
      </x:c>
      <x:c r="D283" s="12" t="s">
        <x:v>1991</x:v>
      </x:c>
      <x:c r="E283" s="12" t="s">
        <x:v>2119</x:v>
      </x:c>
      <x:c r="F283" s="12"/>
    </x:row>
    <x:row r="284">
      <x:c r="A284" s="12" t="s">
        <x:v>439</x:v>
      </x:c>
      <x:c r="B284" s="55"/>
      <x:c r="C284" s="55">
        <x:v>3040</x:v>
      </x:c>
      <x:c r="D284" s="12" t="s">
        <x:v>1994</x:v>
      </x:c>
      <x:c r="E284" s="12" t="s">
        <x:v>2118</x:v>
      </x:c>
      <x:c r="F284" s="12"/>
    </x:row>
    <x:row r="285">
      <x:c r="A285" s="12" t="s">
        <x:v>374</x:v>
      </x:c>
      <x:c r="B285" s="55"/>
      <x:c r="C285" s="55">
        <x:v>2860</x:v>
      </x:c>
      <x:c r="D285" s="12" t="s">
        <x:v>1961</x:v>
      </x:c>
      <x:c r="E285" s="12" t="s">
        <x:v>2120</x:v>
      </x:c>
      <x:c r="F285" s="12"/>
    </x:row>
    <x:row r="286" ht="30">
      <x:c r="A286" s="12" t="s">
        <x:v>290</x:v>
      </x:c>
      <x:c r="B286" s="55"/>
      <x:c r="C286" s="55">
        <x:v>318</x:v>
      </x:c>
      <x:c r="D286" s="12" t="s">
        <x:v>1457</x:v>
      </x:c>
      <x:c r="E286" s="12" t="s">
        <x:v>2182</x:v>
      </x:c>
      <x:c r="F286" s="12"/>
    </x:row>
    <x:row r="287">
      <x:c r="A287" s="12" t="s">
        <x:v>281</x:v>
      </x:c>
      <x:c r="B287" s="55"/>
      <x:c r="C287" s="55">
        <x:v>3814</x:v>
      </x:c>
      <x:c r="D287" s="12" t="s">
        <x:v>1461</x:v>
      </x:c>
      <x:c r="E287" s="12" t="s">
        <x:v>2119</x:v>
      </x:c>
      <x:c r="F287" s="12"/>
    </x:row>
    <x:row r="288">
      <x:c r="A288" s="12" t="s">
        <x:v>288</x:v>
      </x:c>
      <x:c r="B288" s="55"/>
      <x:c r="C288" s="55">
        <x:v>3815</x:v>
      </x:c>
      <x:c r="D288" s="12" t="s">
        <x:v>1462</x:v>
      </x:c>
      <x:c r="E288" s="12" t="s">
        <x:v>2119</x:v>
      </x:c>
      <x:c r="F288" s="12"/>
    </x:row>
    <x:row r="289">
      <x:c r="A289" s="12" t="s">
        <x:v>296</x:v>
      </x:c>
      <x:c r="B289" s="55"/>
      <x:c r="C289" s="55">
        <x:v>3816</x:v>
      </x:c>
      <x:c r="D289" s="12" t="s">
        <x:v>1464</x:v>
      </x:c>
      <x:c r="E289" s="12" t="s">
        <x:v>2128</x:v>
      </x:c>
      <x:c r="F289" s="12"/>
    </x:row>
    <x:row r="290">
      <x:c r="A290" s="12" t="s">
        <x:v>115</x:v>
      </x:c>
      <x:c r="B290" s="55"/>
      <x:c r="C290" s="55">
        <x:v>3076</x:v>
      </x:c>
      <x:c r="D290" s="12" t="s">
        <x:v>115</x:v>
      </x:c>
      <x:c r="E290" s="12" t="s">
        <x:v>2122</x:v>
      </x:c>
      <x:c r="F290" s="12"/>
    </x:row>
    <x:row r="291">
      <x:c r="A291" s="12" t="s">
        <x:v>105</x:v>
      </x:c>
      <x:c r="B291" s="55"/>
      <x:c r="C291" s="55">
        <x:v>3077</x:v>
      </x:c>
      <x:c r="D291" s="12" t="s">
        <x:v>105</x:v>
      </x:c>
      <x:c r="E291" s="12" t="s">
        <x:v>2124</x:v>
      </x:c>
      <x:c r="F291" s="12"/>
    </x:row>
    <x:row r="292">
      <x:c r="A292" s="12" t="s">
        <x:v>129</x:v>
      </x:c>
      <x:c r="B292" s="55"/>
      <x:c r="C292" s="55">
        <x:v>3083</x:v>
      </x:c>
      <x:c r="D292" s="12" t="s">
        <x:v>129</x:v>
      </x:c>
      <x:c r="E292" s="12" t="s">
        <x:v>2125</x:v>
      </x:c>
      <x:c r="F292" s="12"/>
    </x:row>
    <x:row r="293">
      <x:c r="A293" s="12" t="s">
        <x:v>100</x:v>
      </x:c>
      <x:c r="B293" s="55"/>
      <x:c r="C293" s="55">
        <x:v>2749</x:v>
      </x:c>
      <x:c r="D293" s="12" t="s">
        <x:v>1950</x:v>
      </x:c>
      <x:c r="E293" s="12" t="s">
        <x:v>2124</x:v>
      </x:c>
      <x:c r="F293" s="12"/>
    </x:row>
    <x:row r="294">
      <x:c r="A294" s="12" t="s">
        <x:v>124</x:v>
      </x:c>
      <x:c r="B294" s="55"/>
      <x:c r="C294" s="55">
        <x:v>7591</x:v>
      </x:c>
      <x:c r="D294" s="12" t="s">
        <x:v>1947</x:v>
      </x:c>
      <x:c r="E294" s="12" t="s">
        <x:v>2122</x:v>
      </x:c>
      <x:c r="F294" s="12"/>
    </x:row>
    <x:row r="295">
      <x:c r="A295" s="12" t="s">
        <x:v>92</x:v>
      </x:c>
      <x:c r="B295" s="55"/>
      <x:c r="C295" s="55">
        <x:v>2750</x:v>
      </x:c>
      <x:c r="D295" s="12" t="s">
        <x:v>1951</x:v>
      </x:c>
      <x:c r="E295" s="12" t="s">
        <x:v>2126</x:v>
      </x:c>
      <x:c r="F295" s="12"/>
    </x:row>
    <x:row r="296" ht="30">
      <x:c r="A296" s="12" t="s">
        <x:v>95</x:v>
      </x:c>
      <x:c r="B296" s="55"/>
      <x:c r="C296" s="55">
        <x:v>2751</x:v>
      </x:c>
      <x:c r="D296" s="12" t="s">
        <x:v>1952</x:v>
      </x:c>
      <x:c r="E296" s="12" t="s">
        <x:v>2164</x:v>
      </x:c>
      <x:c r="F296" s="12"/>
    </x:row>
    <x:row r="297">
      <x:c r="A297" s="12" t="s">
        <x:v>112</x:v>
      </x:c>
      <x:c r="B297" s="55"/>
      <x:c r="C297" s="55">
        <x:v>2752</x:v>
      </x:c>
      <x:c r="D297" s="12" t="s">
        <x:v>1953</x:v>
      </x:c>
      <x:c r="E297" s="12" t="s">
        <x:v>2122</x:v>
      </x:c>
      <x:c r="F297" s="12"/>
    </x:row>
    <x:row r="298" ht="60">
      <x:c r="A298" s="12" t="s">
        <x:v>89</x:v>
      </x:c>
      <x:c r="B298" s="55"/>
      <x:c r="C298" s="55">
        <x:v>2757</x:v>
      </x:c>
      <x:c r="D298" s="12" t="s">
        <x:v>1954</x:v>
      </x:c>
      <x:c r="E298" s="12" t="s">
        <x:v>2183</x:v>
      </x:c>
      <x:c r="F298" s="12"/>
    </x:row>
    <x:row r="299" ht="30">
      <x:c r="A299" s="12" t="s">
        <x:v>108</x:v>
      </x:c>
      <x:c r="B299" s="55"/>
      <x:c r="C299" s="55">
        <x:v>7592</x:v>
      </x:c>
      <x:c r="D299" s="12" t="s">
        <x:v>1955</x:v>
      </x:c>
      <x:c r="E299" s="12" t="s">
        <x:v>2163</x:v>
      </x:c>
      <x:c r="F299" s="12"/>
    </x:row>
    <x:row r="300">
      <x:c r="A300" s="12" t="s">
        <x:v>194</x:v>
      </x:c>
      <x:c r="B300" s="55"/>
      <x:c r="C300" s="55">
        <x:v>3174</x:v>
      </x:c>
      <x:c r="D300" s="12" t="s">
        <x:v>2007</x:v>
      </x:c>
      <x:c r="E300" s="12" t="s">
        <x:v>2158</x:v>
      </x:c>
      <x:c r="F300" s="12"/>
    </x:row>
    <x:row r="301" ht="30">
      <x:c r="A301" s="12" t="s">
        <x:v>196</x:v>
      </x:c>
      <x:c r="B301" s="55"/>
      <x:c r="C301" s="55">
        <x:v>3175</x:v>
      </x:c>
      <x:c r="D301" s="12" t="s">
        <x:v>2009</x:v>
      </x:c>
      <x:c r="E301" s="12" t="s">
        <x:v>2171</x:v>
      </x:c>
      <x:c r="F301" s="12"/>
    </x:row>
    <x:row r="302">
      <x:c r="A302" s="12" t="s">
        <x:v>180</x:v>
      </x:c>
      <x:c r="B302" s="55"/>
      <x:c r="C302" s="55">
        <x:v>3176</x:v>
      </x:c>
      <x:c r="D302" s="12" t="s">
        <x:v>2011</x:v>
      </x:c>
      <x:c r="E302" s="12" t="s">
        <x:v>2172</x:v>
      </x:c>
      <x:c r="F302" s="12"/>
    </x:row>
    <x:row r="303" ht="30">
      <x:c r="A303" s="12" t="s">
        <x:v>182</x:v>
      </x:c>
      <x:c r="B303" s="55"/>
      <x:c r="C303" s="55">
        <x:v>3177</x:v>
      </x:c>
      <x:c r="D303" s="12" t="s">
        <x:v>2012</x:v>
      </x:c>
      <x:c r="E303" s="12" t="s">
        <x:v>2184</x:v>
      </x:c>
      <x:c r="F303" s="12"/>
    </x:row>
    <x:row r="304" ht="30">
      <x:c r="A304" s="12" t="s">
        <x:v>199</x:v>
      </x:c>
      <x:c r="B304" s="55"/>
      <x:c r="C304" s="55">
        <x:v>3182</x:v>
      </x:c>
      <x:c r="D304" s="12" t="s">
        <x:v>2013</x:v>
      </x:c>
      <x:c r="E304" s="12" t="s">
        <x:v>2171</x:v>
      </x:c>
      <x:c r="F304" s="12"/>
    </x:row>
    <x:row r="305" ht="30">
      <x:c r="A305" s="12" t="s">
        <x:v>190</x:v>
      </x:c>
      <x:c r="B305" s="55"/>
      <x:c r="C305" s="55">
        <x:v>3183</x:v>
      </x:c>
      <x:c r="D305" s="12" t="s">
        <x:v>2014</x:v>
      </x:c>
      <x:c r="E305" s="12" t="s">
        <x:v>2185</x:v>
      </x:c>
      <x:c r="F305" s="12"/>
    </x:row>
    <x:row r="306">
      <x:c r="A306" s="12" t="s">
        <x:v>299</x:v>
      </x:c>
      <x:c r="B306" s="55"/>
      <x:c r="C306" s="55">
        <x:v>3132</x:v>
      </x:c>
      <x:c r="D306" s="12" t="s">
        <x:v>2003</x:v>
      </x:c>
      <x:c r="E306" s="12" t="s">
        <x:v>2141</x:v>
      </x:c>
      <x:c r="F306" s="12"/>
    </x:row>
    <x:row r="307">
      <x:c r="A307" s="12" t="s">
        <x:v>382</x:v>
      </x:c>
      <x:c r="B307" s="55"/>
      <x:c r="C307" s="55">
        <x:v>3300</x:v>
      </x:c>
      <x:c r="D307" s="12" t="s">
        <x:v>2035</x:v>
      </x:c>
      <x:c r="E307" s="12" t="s">
        <x:v>2120</x:v>
      </x:c>
      <x:c r="F307" s="12"/>
    </x:row>
    <x:row r="308">
      <x:c r="A308" s="12" t="s">
        <x:v>443</x:v>
      </x:c>
      <x:c r="B308" s="55"/>
      <x:c r="C308" s="55">
        <x:v>3222</x:v>
      </x:c>
      <x:c r="D308" s="12" t="s">
        <x:v>2025</x:v>
      </x:c>
      <x:c r="E308" s="12" t="s">
        <x:v>2118</x:v>
      </x:c>
      <x:c r="F308" s="12"/>
    </x:row>
    <x:row r="309">
      <x:c r="A309" s="12" t="s">
        <x:v>402</x:v>
      </x:c>
      <x:c r="B309" s="55"/>
      <x:c r="C309" s="55">
        <x:v>3238</x:v>
      </x:c>
      <x:c r="D309" s="12" t="s">
        <x:v>2029</x:v>
      </x:c>
      <x:c r="E309" s="12" t="s">
        <x:v>2114</x:v>
      </x:c>
      <x:c r="F309" s="12"/>
    </x:row>
    <x:row r="310">
      <x:c r="A310" s="12" t="s">
        <x:v>228</x:v>
      </x:c>
      <x:c r="B310" s="55"/>
      <x:c r="C310" s="55">
        <x:v>3239</x:v>
      </x:c>
      <x:c r="D310" s="12" t="s">
        <x:v>2031</x:v>
      </x:c>
      <x:c r="E310" s="12" t="s">
        <x:v>2151</x:v>
      </x:c>
      <x:c r="F310" s="12"/>
    </x:row>
    <x:row r="311">
      <x:c r="A311" s="12" t="s">
        <x:v>401</x:v>
      </x:c>
      <x:c r="B311" s="55"/>
      <x:c r="C311" s="55">
        <x:v>3244</x:v>
      </x:c>
      <x:c r="D311" s="12" t="s">
        <x:v>2033</x:v>
      </x:c>
      <x:c r="E311" s="12" t="s">
        <x:v>2114</x:v>
      </x:c>
      <x:c r="F311" s="12"/>
    </x:row>
    <x:row r="312" ht="30">
      <x:c r="A312" s="12" t="s">
        <x:v>74</x:v>
      </x:c>
      <x:c r="B312" s="55"/>
      <x:c r="C312" s="55">
        <x:v>3191</x:v>
      </x:c>
      <x:c r="D312" s="12" t="s">
        <x:v>2015</x:v>
      </x:c>
      <x:c r="E312" s="12" t="s">
        <x:v>2186</x:v>
      </x:c>
      <x:c r="F312" s="12"/>
    </x:row>
    <x:row r="313">
      <x:c r="A313" s="12" t="s">
        <x:v>437</x:v>
      </x:c>
      <x:c r="B313" s="55"/>
      <x:c r="C313" s="55">
        <x:v>3205</x:v>
      </x:c>
      <x:c r="D313" s="12" t="s">
        <x:v>2020</x:v>
      </x:c>
      <x:c r="E313" s="12" t="s">
        <x:v>2118</x:v>
      </x:c>
      <x:c r="F313" s="12"/>
    </x:row>
    <x:row r="314">
      <x:c r="A314" s="12" t="s">
        <x:v>291</x:v>
      </x:c>
      <x:c r="B314" s="55"/>
      <x:c r="C314" s="55">
        <x:v>3206</x:v>
      </x:c>
      <x:c r="D314" s="12" t="s">
        <x:v>2023</x:v>
      </x:c>
      <x:c r="E314" s="12" t="s">
        <x:v>2128</x:v>
      </x:c>
      <x:c r="F314" s="12"/>
    </x:row>
    <x:row r="315">
      <x:c r="A315" s="12" t="s">
        <x:v>246</x:v>
      </x:c>
      <x:c r="B315" s="55"/>
      <x:c r="C315" s="55">
        <x:v>3198</x:v>
      </x:c>
      <x:c r="D315" s="12" t="s">
        <x:v>2018</x:v>
      </x:c>
      <x:c r="E315" s="12" t="s">
        <x:v>2127</x:v>
      </x:c>
      <x:c r="F315" s="12"/>
    </x:row>
    <x:row r="316">
      <x:c r="A316" s="12" t="s">
        <x:v>248</x:v>
      </x:c>
      <x:c r="B316" s="55"/>
      <x:c r="C316" s="55">
        <x:v>3199</x:v>
      </x:c>
      <x:c r="D316" s="12" t="s">
        <x:v>248</x:v>
      </x:c>
      <x:c r="E316" s="12" t="s">
        <x:v>2127</x:v>
      </x:c>
      <x:c r="F316" s="12"/>
    </x:row>
    <x:row r="317">
      <x:c r="A317" s="12" t="s">
        <x:v>217</x:v>
      </x:c>
      <x:c r="B317" s="55"/>
      <x:c r="C317" s="55">
        <x:v>3231</x:v>
      </x:c>
      <x:c r="D317" s="12" t="s">
        <x:v>217</x:v>
      </x:c>
      <x:c r="E317" s="12" t="s">
        <x:v>2187</x:v>
      </x:c>
      <x:c r="F317" s="12"/>
    </x:row>
    <x:row r="318">
      <x:c r="A318" s="12" t="s">
        <x:v>210</x:v>
      </x:c>
      <x:c r="B318" s="55"/>
      <x:c r="C318" s="55">
        <x:v>1978</x:v>
      </x:c>
      <x:c r="D318" s="12" t="s">
        <x:v>1805</x:v>
      </x:c>
      <x:c r="E318" s="12" t="s">
        <x:v>2132</x:v>
      </x:c>
      <x:c r="F318" s="12"/>
    </x:row>
    <x:row r="319">
      <x:c r="A319" s="12" t="s">
        <x:v>197</x:v>
      </x:c>
      <x:c r="B319" s="55"/>
      <x:c r="C319" s="55">
        <x:v>1979</x:v>
      </x:c>
      <x:c r="D319" s="12" t="s">
        <x:v>1807</x:v>
      </x:c>
      <x:c r="E319" s="12" t="s">
        <x:v>2158</x:v>
      </x:c>
      <x:c r="F319" s="12"/>
    </x:row>
    <x:row r="320">
      <x:c r="A320" s="12" t="s">
        <x:v>204</x:v>
      </x:c>
      <x:c r="B320" s="55"/>
      <x:c r="C320" s="55">
        <x:v>1980</x:v>
      </x:c>
      <x:c r="D320" s="12" t="s">
        <x:v>1808</x:v>
      </x:c>
      <x:c r="E320" s="12" t="s">
        <x:v>2139</x:v>
      </x:c>
      <x:c r="F320" s="12"/>
    </x:row>
    <x:row r="321">
      <x:c r="A321" s="12" t="s">
        <x:v>185</x:v>
      </x:c>
      <x:c r="B321" s="55"/>
      <x:c r="C321" s="55">
        <x:v>1981</x:v>
      </x:c>
      <x:c r="D321" s="12" t="s">
        <x:v>1810</x:v>
      </x:c>
      <x:c r="E321" s="12" t="s">
        <x:v>2172</x:v>
      </x:c>
      <x:c r="F321" s="12"/>
    </x:row>
    <x:row r="322" ht="45">
      <x:c r="A322" s="12" t="s">
        <x:v>178</x:v>
      </x:c>
      <x:c r="B322" s="55"/>
      <x:c r="C322" s="55">
        <x:v>1985</x:v>
      </x:c>
      <x:c r="D322" s="12" t="s">
        <x:v>1812</x:v>
      </x:c>
      <x:c r="E322" s="12" t="s">
        <x:v>2140</x:v>
      </x:c>
      <x:c r="F322" s="12"/>
    </x:row>
    <x:row r="323">
      <x:c r="A323" s="12" t="s">
        <x:v>183</x:v>
      </x:c>
      <x:c r="B323" s="55"/>
      <x:c r="C323" s="55">
        <x:v>1986</x:v>
      </x:c>
      <x:c r="D323" s="12" t="s">
        <x:v>1814</x:v>
      </x:c>
      <x:c r="E323" s="12" t="s">
        <x:v>2172</x:v>
      </x:c>
      <x:c r="F323" s="12"/>
    </x:row>
    <x:row r="324">
      <x:c r="A324" s="12" t="s">
        <x:v>195</x:v>
      </x:c>
      <x:c r="B324" s="55"/>
      <x:c r="C324" s="55">
        <x:v>7595</x:v>
      </x:c>
      <x:c r="D324" s="12" t="s">
        <x:v>1816</x:v>
      </x:c>
      <x:c r="E324" s="12" t="s">
        <x:v>2158</x:v>
      </x:c>
      <x:c r="F324" s="12"/>
    </x:row>
    <x:row r="325" ht="30">
      <x:c r="A325" s="12" t="s">
        <x:v>69</x:v>
      </x:c>
      <x:c r="B325" s="55"/>
      <x:c r="C325" s="55">
        <x:v>3153</x:v>
      </x:c>
      <x:c r="D325" s="12" t="s">
        <x:v>2005</x:v>
      </x:c>
      <x:c r="E325" s="12" t="s">
        <x:v>2161</x:v>
      </x:c>
      <x:c r="F325" s="12"/>
    </x:row>
    <x:row r="326">
      <x:c r="A326" s="12" t="s">
        <x:v>277</x:v>
      </x:c>
      <x:c r="B326" s="55"/>
      <x:c r="C326" s="55">
        <x:v>3326</x:v>
      </x:c>
      <x:c r="D326" s="12" t="s">
        <x:v>277</x:v>
      </x:c>
      <x:c r="E326" s="12" t="s">
        <x:v>2135</x:v>
      </x:c>
      <x:c r="F326" s="12"/>
    </x:row>
    <x:row r="327">
      <x:c r="A327" s="12" t="s">
        <x:v>256</x:v>
      </x:c>
      <x:c r="B327" s="55"/>
      <x:c r="C327" s="55">
        <x:v>3327</x:v>
      </x:c>
      <x:c r="D327" s="12" t="s">
        <x:v>256</x:v>
      </x:c>
      <x:c r="E327" s="12" t="s">
        <x:v>2137</x:v>
      </x:c>
      <x:c r="F327" s="12"/>
    </x:row>
    <x:row r="328">
      <x:c r="A328" s="12" t="s">
        <x:v>263</x:v>
      </x:c>
      <x:c r="B328" s="55"/>
      <x:c r="C328" s="55">
        <x:v>3328</x:v>
      </x:c>
      <x:c r="D328" s="12" t="s">
        <x:v>263</x:v>
      </x:c>
      <x:c r="E328" s="12" t="s">
        <x:v>2137</x:v>
      </x:c>
      <x:c r="F328" s="12"/>
    </x:row>
    <x:row r="329">
      <x:c r="A329" s="12" t="s">
        <x:v>276</x:v>
      </x:c>
      <x:c r="B329" s="55"/>
      <x:c r="C329" s="55">
        <x:v>3332</x:v>
      </x:c>
      <x:c r="D329" s="12" t="s">
        <x:v>276</x:v>
      </x:c>
      <x:c r="E329" s="12" t="s">
        <x:v>2135</x:v>
      </x:c>
      <x:c r="F329" s="12"/>
    </x:row>
    <x:row r="330">
      <x:c r="A330" s="12" t="s">
        <x:v>349</x:v>
      </x:c>
      <x:c r="B330" s="55"/>
      <x:c r="C330" s="55">
        <x:v>3356</x:v>
      </x:c>
      <x:c r="D330" s="12" t="s">
        <x:v>2050</x:v>
      </x:c>
      <x:c r="E330" s="12" t="s">
        <x:v>2146</x:v>
      </x:c>
      <x:c r="F330" s="12"/>
    </x:row>
    <x:row r="331">
      <x:c r="A331" s="12" t="s">
        <x:v>302</x:v>
      </x:c>
      <x:c r="B331" s="55"/>
      <x:c r="C331" s="55">
        <x:v>3403</x:v>
      </x:c>
      <x:c r="D331" s="12" t="s">
        <x:v>302</x:v>
      </x:c>
      <x:c r="E331" s="12" t="s">
        <x:v>2180</x:v>
      </x:c>
      <x:c r="F331" s="12"/>
    </x:row>
    <x:row r="332">
      <x:c r="A332" s="12" t="s">
        <x:v>132</x:v>
      </x:c>
      <x:c r="B332" s="55"/>
      <x:c r="C332" s="55">
        <x:v>917</x:v>
      </x:c>
      <x:c r="D332" s="12" t="s">
        <x:v>1605</x:v>
      </x:c>
      <x:c r="E332" s="12" t="s">
        <x:v>2125</x:v>
      </x:c>
      <x:c r="F332" s="12"/>
    </x:row>
    <x:row r="333">
      <x:c r="A333" s="12" t="s">
        <x:v>117</x:v>
      </x:c>
      <x:c r="B333" s="55"/>
      <x:c r="C333" s="55">
        <x:v>918</x:v>
      </x:c>
      <x:c r="D333" s="12" t="s">
        <x:v>1608</x:v>
      </x:c>
      <x:c r="E333" s="12" t="s">
        <x:v>2122</x:v>
      </x:c>
      <x:c r="F333" s="12"/>
    </x:row>
    <x:row r="334" ht="30">
      <x:c r="A334" s="12" t="s">
        <x:v>94</x:v>
      </x:c>
      <x:c r="B334" s="55"/>
      <x:c r="C334" s="55">
        <x:v>919</x:v>
      </x:c>
      <x:c r="D334" s="12" t="s">
        <x:v>1609</x:v>
      </x:c>
      <x:c r="E334" s="12" t="s">
        <x:v>2164</x:v>
      </x:c>
      <x:c r="F334" s="12"/>
    </x:row>
    <x:row r="335">
      <x:c r="A335" s="12" t="s">
        <x:v>103</x:v>
      </x:c>
      <x:c r="B335" s="55"/>
      <x:c r="C335" s="55">
        <x:v>920</x:v>
      </x:c>
      <x:c r="D335" s="12" t="s">
        <x:v>1611</x:v>
      </x:c>
      <x:c r="E335" s="12" t="s">
        <x:v>2124</x:v>
      </x:c>
      <x:c r="F335" s="12"/>
    </x:row>
    <x:row r="336" ht="30">
      <x:c r="A336" s="12" t="s">
        <x:v>97</x:v>
      </x:c>
      <x:c r="B336" s="55"/>
      <x:c r="C336" s="55">
        <x:v>926</x:v>
      </x:c>
      <x:c r="D336" s="12" t="s">
        <x:v>1613</x:v>
      </x:c>
      <x:c r="E336" s="12" t="s">
        <x:v>2163</x:v>
      </x:c>
      <x:c r="F336" s="12"/>
    </x:row>
    <x:row r="337">
      <x:c r="A337" s="12" t="s">
        <x:v>434</x:v>
      </x:c>
      <x:c r="B337" s="55"/>
      <x:c r="C337" s="55">
        <x:v>3409</x:v>
      </x:c>
      <x:c r="D337" s="12" t="s">
        <x:v>2058</x:v>
      </x:c>
      <x:c r="E337" s="12" t="s">
        <x:v>2118</x:v>
      </x:c>
      <x:c r="F337" s="12"/>
    </x:row>
    <x:row r="338">
      <x:c r="A338" s="12" t="s">
        <x:v>225</x:v>
      </x:c>
      <x:c r="B338" s="55"/>
      <x:c r="C338" s="55">
        <x:v>3479</x:v>
      </x:c>
      <x:c r="D338" s="12" t="s">
        <x:v>225</x:v>
      </x:c>
      <x:c r="E338" s="12" t="s">
        <x:v>2151</x:v>
      </x:c>
      <x:c r="F338" s="12"/>
    </x:row>
    <x:row r="339" ht="30">
      <x:c r="A339" s="12" t="s">
        <x:v>285</x:v>
      </x:c>
      <x:c r="B339" s="55"/>
      <x:c r="C339" s="55">
        <x:v>3500</x:v>
      </x:c>
      <x:c r="D339" s="12" t="s">
        <x:v>2077</x:v>
      </x:c>
      <x:c r="E339" s="12" t="s">
        <x:v>2188</x:v>
      </x:c>
      <x:c r="F339" s="12"/>
    </x:row>
    <x:row r="340">
      <x:c r="A340" s="12" t="s">
        <x:v>298</x:v>
      </x:c>
      <x:c r="B340" s="55"/>
      <x:c r="C340" s="55">
        <x:v>3501</x:v>
      </x:c>
      <x:c r="D340" s="12" t="s">
        <x:v>298</x:v>
      </x:c>
      <x:c r="E340" s="12" t="s">
        <x:v>2141</x:v>
      </x:c>
      <x:c r="F340" s="12"/>
    </x:row>
    <x:row r="341" ht="30">
      <x:c r="A341" s="12" t="s">
        <x:v>257</x:v>
      </x:c>
      <x:c r="B341" s="55"/>
      <x:c r="C341" s="55">
        <x:v>2091</x:v>
      </x:c>
      <x:c r="D341" s="12" t="s">
        <x:v>1836</x:v>
      </x:c>
      <x:c r="E341" s="12" t="s">
        <x:v>2134</x:v>
      </x:c>
      <x:c r="F341" s="12"/>
    </x:row>
    <x:row r="342">
      <x:c r="A342" s="12" t="s">
        <x:v>264</x:v>
      </x:c>
      <x:c r="B342" s="55"/>
      <x:c r="C342" s="55">
        <x:v>2092</x:v>
      </x:c>
      <x:c r="D342" s="12" t="s">
        <x:v>1839</x:v>
      </x:c>
      <x:c r="E342" s="12" t="s">
        <x:v>2167</x:v>
      </x:c>
      <x:c r="F342" s="12"/>
    </x:row>
    <x:row r="343">
      <x:c r="A343" s="12" t="s">
        <x:v>275</x:v>
      </x:c>
      <x:c r="B343" s="55"/>
      <x:c r="C343" s="55">
        <x:v>2093</x:v>
      </x:c>
      <x:c r="D343" s="12" t="s">
        <x:v>1841</x:v>
      </x:c>
      <x:c r="E343" s="12" t="s">
        <x:v>2135</x:v>
      </x:c>
      <x:c r="F343" s="12"/>
    </x:row>
    <x:row r="344">
      <x:c r="A344" s="12" t="s">
        <x:v>269</x:v>
      </x:c>
      <x:c r="B344" s="55"/>
      <x:c r="C344" s="55">
        <x:v>2094</x:v>
      </x:c>
      <x:c r="D344" s="12" t="s">
        <x:v>1842</x:v>
      </x:c>
      <x:c r="E344" s="12" t="s">
        <x:v>2167</x:v>
      </x:c>
      <x:c r="F344" s="12" t="s">
        <x:v>1677</x:v>
      </x:c>
    </x:row>
    <x:row r="345" ht="30">
      <x:c r="A345" s="12" t="s">
        <x:v>261</x:v>
      </x:c>
      <x:c r="B345" s="55"/>
      <x:c r="C345" s="55">
        <x:v>2097</x:v>
      </x:c>
      <x:c r="D345" s="12" t="s">
        <x:v>1843</x:v>
      </x:c>
      <x:c r="E345" s="12" t="s">
        <x:v>2134</x:v>
      </x:c>
      <x:c r="F345" s="12"/>
    </x:row>
    <x:row r="346">
      <x:c r="A346" s="12" t="s">
        <x:v>224</x:v>
      </x:c>
      <x:c r="B346" s="12"/>
      <x:c r="C346" s="55">
        <x:v>3489</x:v>
      </x:c>
      <x:c r="D346" s="12" t="s">
        <x:v>2078</x:v>
      </x:c>
      <x:c r="E346" s="12" t="s">
        <x:v>2151</x:v>
      </x:c>
      <x:c r="F346" s="12"/>
    </x:row>
    <x:row r="347">
      <x:c r="A347" s="12" t="s">
        <x:v>411</x:v>
      </x:c>
      <x:c r="B347" s="12"/>
      <x:c r="C347" s="55">
        <x:v>7599</x:v>
      </x:c>
      <x:c r="D347" s="12" t="s">
        <x:v>2080</x:v>
      </x:c>
      <x:c r="E347" s="12" t="s">
        <x:v>2114</x:v>
      </x:c>
      <x:c r="F347" s="12"/>
    </x:row>
    <x:row r="348">
      <x:c r="A348" s="12" t="s">
        <x:v>398</x:v>
      </x:c>
      <x:c r="B348" s="12"/>
      <x:c r="C348" s="55">
        <x:v>3492</x:v>
      </x:c>
      <x:c r="D348" s="12" t="s">
        <x:v>2082</x:v>
      </x:c>
      <x:c r="E348" s="12" t="s">
        <x:v>2114</x:v>
      </x:c>
      <x:c r="F348" s="12"/>
    </x:row>
    <x:row r="349">
      <x:c r="A349" s="12" t="s">
        <x:v>340</x:v>
      </x:c>
      <x:c r="B349" s="12"/>
      <x:c r="C349" s="55">
        <x:v>3520</x:v>
      </x:c>
      <x:c r="D349" s="12" t="s">
        <x:v>2085</x:v>
      </x:c>
      <x:c r="E349" s="12" t="s">
        <x:v>2146</x:v>
      </x:c>
      <x:c r="F349" s="12"/>
    </x:row>
    <x:row r="350">
      <x:c r="A350" s="12" t="s">
        <x:v>360</x:v>
      </x:c>
      <x:c r="B350" s="12"/>
      <x:c r="C350" s="55">
        <x:v>3538</x:v>
      </x:c>
      <x:c r="D350" s="12" t="s">
        <x:v>2088</x:v>
      </x:c>
      <x:c r="E350" s="12" t="s">
        <x:v>2120</x:v>
      </x:c>
      <x:c r="F350" s="12"/>
    </x:row>
    <x:row r="351">
      <x:c r="A351" s="12" t="s">
        <x:v>377</x:v>
      </x:c>
      <x:c r="B351" s="12"/>
      <x:c r="C351" s="55">
        <x:v>3541</x:v>
      </x:c>
      <x:c r="D351" s="12" t="s">
        <x:v>2091</x:v>
      </x:c>
      <x:c r="E351" s="12" t="s">
        <x:v>2120</x:v>
      </x:c>
      <x:c r="F351" s="12"/>
    </x:row>
    <x:row r="352">
      <x:c r="A352" s="12" t="s">
        <x:v>373</x:v>
      </x:c>
      <x:c r="B352" s="12"/>
      <x:c r="C352" s="55">
        <x:v>3597</x:v>
      </x:c>
      <x:c r="D352" s="12" t="s">
        <x:v>2100</x:v>
      </x:c>
      <x:c r="E352" s="12" t="s">
        <x:v>2120</x:v>
      </x:c>
      <x:c r="F352" s="12"/>
    </x:row>
    <x:row r="353">
      <x:c r="A353" s="12" t="s">
        <x:v>376</x:v>
      </x:c>
      <x:c r="B353" s="12"/>
      <x:c r="C353" s="55">
        <x:v>3600</x:v>
      </x:c>
      <x:c r="D353" s="12" t="s">
        <x:v>2103</x:v>
      </x:c>
      <x:c r="E353" s="12" t="s">
        <x:v>2120</x:v>
      </x:c>
      <x:c r="F353" s="12"/>
    </x:row>
    <x:row r="354">
      <x:c r="A354" s="12" t="s">
        <x:v>359</x:v>
      </x:c>
      <x:c r="B354" s="12"/>
      <x:c r="C354" s="55">
        <x:v>3573</x:v>
      </x:c>
      <x:c r="D354" s="12" t="s">
        <x:v>2094</x:v>
      </x:c>
      <x:c r="E354" s="12" t="s">
        <x:v>2120</x:v>
      </x:c>
      <x:c r="F354" s="12"/>
    </x:row>
    <x:row r="355">
      <x:c r="A355" s="12" t="s">
        <x:v>363</x:v>
      </x:c>
      <x:c r="B355" s="12"/>
      <x:c r="C355" s="55">
        <x:v>3576</x:v>
      </x:c>
      <x:c r="D355" s="12" t="s">
        <x:v>2097</x:v>
      </x:c>
      <x:c r="E355" s="12" t="s">
        <x:v>2120</x:v>
      </x:c>
      <x:c r="F355" s="12"/>
    </x:row>
    <x:row r="356">
      <x:c r="A356" s="12" t="s">
        <x:v>139</x:v>
      </x:c>
      <x:c r="B356" s="12"/>
      <x:c r="C356" s="55">
        <x:v>3601</x:v>
      </x:c>
      <x:c r="D356" s="12" t="s">
        <x:v>2099</x:v>
      </x:c>
      <x:c r="E356" s="12" t="s">
        <x:v>2154</x:v>
      </x:c>
      <x:c r="F356" s="12"/>
    </x:row>
  </x:sheetData>
  <x:pageMargins left="0.7" right="0.7" top="0.75" bottom="0.75" header="0.3" footer="0.3"/>
  <x:tableParts count="1">
    <x:tablePart xmlns:r="http://schemas.openxmlformats.org/officeDocument/2006/relationships" r:id="Rd983e9a34d2348f2"/>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4" customWidth="1"/>
    <x:col min="2" max="3" width="30" customWidth="1"/>
    <x:col min="4" max="4" width="55" customWidth="1"/>
    <x:col min="5" max="5" width="16" customWidth="1"/>
    <x:col min="6" max="6" width="70" customWidth="1"/>
  </x:cols>
  <x:sheetData>
    <x:row r="1" ht="32.099998474121094" customHeight="1">
      <x:c r="A1" s="25" t="s">
        <x:v>2189</x:v>
      </x:c>
      <x:c r="B1" s="25" t="s">
        <x:v>2190</x:v>
      </x:c>
      <x:c r="C1" s="25" t="s">
        <x:v>2191</x:v>
      </x:c>
      <x:c r="D1" s="25" t="s">
        <x:v>2192</x:v>
      </x:c>
      <x:c r="E1" s="25" t="s">
        <x:v>2193</x:v>
      </x:c>
      <x:c r="F1" s="25" t="s">
        <x:v>1321</x:v>
      </x:c>
    </x:row>
    <x:row r="2" ht="57.95000076293945" customHeight="1">
      <x:c r="A2" s="28" t="s">
        <x:v>2194</x:v>
      </x:c>
      <x:c r="B2" s="27" t="s">
        <x:v>2195</x:v>
      </x:c>
      <x:c r="C2" s="27" t="s">
        <x:v>2196</x:v>
      </x:c>
      <x:c r="D2" s="27" t="s">
        <x:v>2197</x:v>
      </x:c>
      <x:c r="E2" s="27">
        <x:v>176</x:v>
      </x:c>
      <x:c r="F2" s="27" t="s">
        <x:v>2198</x:v>
      </x:c>
    </x:row>
    <x:row r="3" ht="57.95000076293945" customHeight="1">
      <x:c r="A3" s="28" t="s">
        <x:v>2194</x:v>
      </x:c>
      <x:c r="B3" s="27" t="s">
        <x:v>2199</x:v>
      </x:c>
      <x:c r="C3" s="27" t="s">
        <x:v>2200</x:v>
      </x:c>
      <x:c r="D3" s="27" t="s">
        <x:v>2201</x:v>
      </x:c>
      <x:c r="E3" s="27">
        <x:v>176</x:v>
      </x:c>
      <x:c r="F3" s="27" t="s">
        <x:v>2202</x:v>
      </x:c>
    </x:row>
    <x:row r="4" ht="57.95000076293945" customHeight="1">
      <x:c r="A4" s="28" t="s">
        <x:v>2194</x:v>
      </x:c>
      <x:c r="B4" s="27" t="s">
        <x:v>2203</x:v>
      </x:c>
      <x:c r="C4" s="27" t="s">
        <x:v>2204</x:v>
      </x:c>
      <x:c r="D4" s="27" t="s">
        <x:v>2205</x:v>
      </x:c>
      <x:c r="E4" s="27">
        <x:v>9</x:v>
      </x:c>
      <x:c r="F4" s="27" t="s">
        <x:v>2206</x:v>
      </x:c>
    </x:row>
    <x:row r="5" ht="57.95000076293945" customHeight="1">
      <x:c r="A5" s="28" t="s">
        <x:v>2194</x:v>
      </x:c>
      <x:c r="B5" s="27" t="s">
        <x:v>2207</x:v>
      </x:c>
      <x:c r="C5" s="27" t="s">
        <x:v>2208</x:v>
      </x:c>
      <x:c r="D5" s="27" t="s">
        <x:v>2209</x:v>
      </x:c>
      <x:c r="E5" s="27" t="s">
        <x:v>2210</x:v>
      </x:c>
      <x:c r="F5" s="27" t="s">
        <x:v>2211</x:v>
      </x:c>
    </x:row>
    <x:row r="6" ht="57.95000076293945" customHeight="1">
      <x:c r="A6" s="53" t="s">
        <x:v>2194</x:v>
      </x:c>
      <x:c r="B6" s="12" t="s">
        <x:v>2203</x:v>
      </x:c>
      <x:c r="C6" s="12" t="s">
        <x:v>2204</x:v>
      </x:c>
      <x:c r="D6" s="12" t="s">
        <x:v>2212</x:v>
      </x:c>
      <x:c r="E6" s="12" t="s">
        <x:v>2213</x:v>
      </x:c>
      <x:c r="F6" s="12" t="s">
        <x:v>2214</x:v>
      </x:c>
    </x:row>
    <x:row r="7" ht="57.95000076293945" customHeight="1">
      <x:c r="A7" s="53" t="s">
        <x:v>2194</x:v>
      </x:c>
      <x:c r="B7" s="12" t="s">
        <x:v>2215</x:v>
      </x:c>
      <x:c r="C7" s="12" t="s">
        <x:v>2216</x:v>
      </x:c>
      <x:c r="D7" s="12" t="s">
        <x:v>2217</x:v>
      </x:c>
      <x:c r="E7" s="12">
        <x:v>12</x:v>
      </x:c>
      <x:c r="F7" s="12" t="s">
        <x:v>2218</x:v>
      </x:c>
    </x:row>
    <x:row r="8" ht="57.95000076293945" customHeight="1">
      <x:c r="A8" s="53" t="s">
        <x:v>2194</x:v>
      </x:c>
      <x:c r="B8" s="12" t="s">
        <x:v>2219</x:v>
      </x:c>
      <x:c r="C8" s="12" t="s">
        <x:v>2220</x:v>
      </x:c>
      <x:c r="D8" s="12" t="s">
        <x:v>2221</x:v>
      </x:c>
      <x:c r="E8" s="12" t="s">
        <x:v>2210</x:v>
      </x:c>
      <x:c r="F8" s="12" t="s">
        <x:v>2222</x:v>
      </x:c>
    </x:row>
    <x:row r="9" ht="57.95000076293945" customHeight="1">
      <x:c r="A9" s="53" t="s">
        <x:v>2194</x:v>
      </x:c>
      <x:c r="B9" s="12" t="s">
        <x:v>2223</x:v>
      </x:c>
      <x:c r="C9" s="12" t="s">
        <x:v>2224</x:v>
      </x:c>
      <x:c r="D9" s="12" t="s">
        <x:v>2225</x:v>
      </x:c>
      <x:c r="E9" s="12" t="s">
        <x:v>2226</x:v>
      </x:c>
      <x:c r="F9" s="12" t="s">
        <x:v>2227</x:v>
      </x:c>
    </x:row>
    <x:row r="10" ht="57.95000076293945" customHeight="1">
      <x:c r="A10" s="53" t="s">
        <x:v>2194</x:v>
      </x:c>
      <x:c r="B10" s="12" t="s">
        <x:v>2228</x:v>
      </x:c>
      <x:c r="C10" s="12" t="s">
        <x:v>2229</x:v>
      </x:c>
      <x:c r="D10" s="12" t="s">
        <x:v>2230</x:v>
      </x:c>
      <x:c r="E10" s="12" t="s">
        <x:v>2231</x:v>
      </x:c>
      <x:c r="F10" s="12" t="s">
        <x:v>2232</x:v>
      </x:c>
    </x:row>
    <x:row r="11" ht="57.95000076293945" customHeight="1">
      <x:c r="A11" s="53" t="s">
        <x:v>2194</x:v>
      </x:c>
      <x:c r="B11" s="12" t="s">
        <x:v>2233</x:v>
      </x:c>
      <x:c r="C11" s="12" t="s">
        <x:v>2234</x:v>
      </x:c>
      <x:c r="D11" s="12" t="s">
        <x:v>2235</x:v>
      </x:c>
      <x:c r="E11" s="12" t="s">
        <x:v>2236</x:v>
      </x:c>
      <x:c r="F11" s="12" t="s">
        <x:v>2237</x:v>
      </x:c>
    </x:row>
    <x:row r="12">
      <x:c r="A12" t="str">
        <x:v>2026-08-17</x:v>
      </x:c>
      <x:c r="B12" t="str">
        <x:v>Commands; CommandMatchups; Force Builder</x:v>
      </x:c>
      <x:c r="C12" t="str">
        <x:v>Table39; Force Builder lookup cells</x:v>
      </x:c>
      <x:c r="D12" t="str">
        <x:v>Corrected Sixth Army spelling and repaired selected-unit lookups</x:v>
      </x:c>
      <x:c r="E12" t="str">
        <x:v>8 text cells; 4 formulas</x:v>
      </x:c>
      <x:c r="F12" t="str">
        <x:v>Replaced incompatible XLOOKUP formulas with INDEX/MATCH while preserving the existing interface and formatting.</x:v>
      </x:c>
    </x:row>
    <x:row r="13">
      <x:c r="A13" t="str">
        <x:v>2026-08-17</x:v>
      </x:c>
      <x:c r="B13" t="str">
        <x:v>Commands; CommandMatchups</x:v>
      </x:c>
      <x:c r="C13" t="str">
        <x:v>Commands command table; Table39</x:v>
      </x:c>
      <x:c r="D13" t="str">
        <x:v>Standardized capitalization of ComStar Army names</x:v>
      </x:c>
      <x:c r="E13" t="str">
        <x:v>48 cells</x:v>
      </x:c>
      <x:c r="F13" t="str">
        <x:v>Army ordinal is title case, level remains an uppercase Roman numeral, and the designation after the hyphen is lowercase (for example, Sixth Army V-pi).</x:v>
      </x:c>
    </x:row>
    <x:row r="14">
      <x:c r="A14" t="str">
        <x:v>2026-08-17</x:v>
      </x:c>
      <x:c r="B14" t="str">
        <x:v>Force Builder; Force Builder Lists; CommandMatchups</x:v>
      </x:c>
      <x:c r="C14" t="str">
        <x:v>Force Selection controls; matchup helper lists</x:v>
      </x:c>
      <x:c r="D14" t="str">
        <x:v>Implemented macro-free contextual Clan/Opponent and Unit selection</x:v>
      </x:c>
      <x:c r="E14" t="str">
        <x:v>7 Clans; 28 matched ComStar units</x:v>
      </x:c>
      <x:c r="F14" t="str">
        <x:v>Clan mode shows Clan plus Opponent: ComStar. ComStar mode changes the Clan label to Opponent and filters the Unit list through CommandMatchups. Automatic row hiding remains deferred for a possible macro version.</x:v>
      </x:c>
    </x:row>
    <x:row r="15">
      <x:c r="A15" t="str">
        <x:v>2026-08-17</x:v>
      </x:c>
      <x:c r="B15" t="str">
        <x:v>Force Builder; Force Composition Mapping; Commands; Clan Formations; ComStar Formations</x:v>
      </x:c>
      <x:c r="C15" t="str">
        <x:v>Formation plan and normalized command-component routing</x:v>
      </x:c>
      <x:c r="D15" t="str">
        <x:v>Added macro-free Step 2A mapping from selected command composition to formation sources and RAT routes</x:v>
      </x:c>
      <x:c r="E15" t="str">
        <x:v>106 normalized component slots across 56 command units</x:v>
      </x:c>
      <x:c r="F15" t="str">
        <x:v>Current ’Mech scope only. Aerospace, Elemental, battle armor, infantry, and artillery components are recorded as deferred and are not generated.</x:v>
      </x:c>
    </x:row>
    <x:row r="16">
      <x:c r="A16" t="str">
        <x:v>2026-08-17</x:v>
      </x:c>
      <x:c r="B16" t="str">
        <x:v>Force Builder</x:v>
      </x:c>
      <x:c r="C16" t="str">
        <x:v>ForceBuilderResults</x:v>
      </x:c>
      <x:c r="D16" t="str">
        <x:v>Rebuilt the Step 2A table definition to match its visible column headers</x:v>
      </x:c>
      <x:c r="E16" t="str">
        <x:v>Excel package repaired</x:v>
      </x:c>
      <x:c r="F16" t="str">
        <x:v>Corrected the internal table-column metadata that still contained the prior Step 1 result headers.</x:v>
      </x:c>
    </x:row>
    <x:row r="17">
      <x:c r="A17" t="str">
        <x:v>2026-08-17</x:v>
      </x:c>
      <x:c r="B17" t="str">
        <x:v>Force Builder; Force Composition Mapping</x:v>
      </x:c>
      <x:c r="C17" t="str">
        <x:v>ForceBuilderResults; ForceCompositionMap</x:v>
      </x:c>
      <x:c r="D17" t="str">
        <x:v>Expanded formation quantities into distinct plan rows and increased visible capacity</x:v>
      </x:c>
      <x:c r="E17" t="str">
        <x:v>7 plan rows; ComStar uses 6</x:v>
      </x:c>
      <x:c r="F17" t="str">
        <x:v>Sixth Jaguar Dragoons now displays three Heavy ’Mech Trinary rows, then separate Elemental Binary and Aerospace Binary rows. A seventh row preserves the Thirteenth Wolf Guard Command Star edge case.</x:v>
      </x:c>
    </x:row>
    <x:row r="18">
      <x:c r="A18" t="str">
        <x:v>2026-08-17</x:v>
      </x:c>
      <x:c r="B18" t="str">
        <x:v>Force Builder; Formation Roll Mapping</x:v>
      </x:c>
      <x:c r="C18" t="str">
        <x:v>ForceBuilderRollLog; six normalized rule tables</x:v>
      </x:c>
      <x:c r="D18" t="str">
        <x:v>Activated macro-free Step 2B formation rolling and moved Force Builder to the first tab</x:v>
      </x:c>
      <x:c r="E18" t="str">
        <x:v>Manual d6 or workbook RNG</x:v>
      </x:c>
      <x:c r="F18" t="str">
        <x:v>Added Expected Track Force Size budget guidance for both sides; it does not multiply ComStar formations. Clan components resolve Star weight composition plus formation types. ComStar Level IIs resolve weight, six-unit distribution, and formation type. Deferred support remains non-rollable.</x:v>
      </x:c>
    </x:row>
    <x:row r="19">
      <x:c r="A19" t="str">
        <x:v>2026-08-17</x:v>
      </x:c>
      <x:c r="B19" t="str">
        <x:v>Clan Formations</x:v>
      </x:c>
      <x:c r="C19" t="str">
        <x:v>ClanForceOrganization</x:v>
      </x:c>
      <x:c r="D19" t="str">
        <x:v>Added the Clan Force Organization reference table</x:v>
      </x:c>
      <x:c r="E19" t="str">
        <x:v>User-provided reference image</x:v>
      </x:c>
      <x:c r="F19" t="str">
        <x:v>Defines Points, Stars, Novas, Binaries, Trinaries, Clusters, Galaxies, and command ranks. Organizational definitions provide context; FP/BV/PV remain the force limits.</x:v>
      </x:c>
    </x:row>
    <x:row r="20">
      <x:c r="A20" t="str">
        <x:v>2026-08-17</x:v>
      </x:c>
      <x:c r="B20" t="str">
        <x:v>Force Builder; Force Composition Mapping</x:v>
      </x:c>
      <x:c r="C20" t="str">
        <x:v>ForceBuilderResults; ForceBuilderRollLog; ForceCompositionMap</x:v>
      </x:c>
      <x:c r="D20" t="str">
        <x:v>Corrected ComStar Step 2A capacity and reserved unused slots for support branches</x:v>
      </x:c>
      <x:c r="E20" t="str">
        <x:v>Designation ’Mech count divided into groups of up to six</x:v>
      </x:c>
      <x:c r="F20" t="str">
        <x:v>Only designation-supported ’Mech Level II slots are rollable. Remaining visible slots state that they are reserved for Combat Vehicles, Infantry, and Aerospace and are excluded from Step 2B.</x:v>
      </x:c>
    </x:row>
    <x:row r="21">
      <x:c r="A21" s="141" t="n">
        <x:v>46251.708333333336</x:v>
      </x:c>
      <x:c r="B21" t="str">
        <x:v>Force Building Tables</x:v>
      </x:c>
      <x:c r="C21" t="str">
        <x:v>BSCACombinedArms; BSCAValidationRules</x:v>
      </x:c>
      <x:c r="D21" t="str">
        <x:v>Added Battlefield Support: Combined Arms costs, combat profiles, purchase rules, and validation constraints from BSCA.pdf</x:v>
      </x:c>
      <x:c r="E21" t="str">
        <x:v>9 support profiles; 12 rule records</x:v>
      </x:c>
      <x:c r="F21" t="str">
        <x:v>Preserved existing sheets, tables, formulas, and normalized formation logic; no support-selection interface or unrelated deferred scope added.</x:v>
      </x:c>
    </x:row>
  </x:sheetData>
  <x:pageMargins left="0.7" right="0.7" top="0.75" bottom="0.75" header="0.3" footer="0.3"/>
  <x:tableParts count="1">
    <x:tablePart xmlns:r="http://schemas.openxmlformats.org/officeDocument/2006/relationships" r:id="R22838287ca2d4f03"/>
  </x:tableParts>
</x:worksheet>
</file>

<file path=xl/worksheets/sheet20.xml><?xml version="1.0" encoding="utf-8"?>
<x:worksheet xmlns:x="http://schemas.openxmlformats.org/spreadsheetml/2006/main">
  <x:sheetViews>
    <x:sheetView showGridLines="0" workbookViewId="0"/>
  </x:sheetViews>
  <x:sheetFormatPr defaultRowHeight="15"/>
  <x:cols>
    <x:col min="1" max="2" width="30" customWidth="1"/>
    <x:col min="3" max="3" width="60" customWidth="1"/>
    <x:col min="4" max="4" width="55" customWidth="1"/>
    <x:col min="5" max="5" width="40" customWidth="1"/>
  </x:cols>
  <x:sheetData>
    <x:row r="1">
      <x:c r="A1" s="12" t="s">
        <x:v>2238</x:v>
      </x:c>
      <x:c r="B1" s="12" t="s">
        <x:v>2239</x:v>
      </x:c>
      <x:c r="C1" s="12" t="s">
        <x:v>2240</x:v>
      </x:c>
      <x:c r="D1" s="12" t="s">
        <x:v>2241</x:v>
      </x:c>
      <x:c r="E1" s="12" t="s">
        <x:v>918</x:v>
      </x:c>
    </x:row>
    <x:row r="2" ht="42" customHeight="1">
      <x:c r="A2" s="12" t="s">
        <x:v>2242</x:v>
      </x:c>
      <x:c r="B2" s="12" t="s">
        <x:v>364</x:v>
      </x:c>
      <x:c r="C2" s="12" t="s">
        <x:v>2243</x:v>
      </x:c>
      <x:c r="D2" s="12" t="s">
        <x:v>2244</x:v>
      </x:c>
      <x:c r="E2" s="12" t="s">
        <x:v>2245</x:v>
      </x:c>
    </x:row>
    <x:row r="3" ht="42" customHeight="1">
      <x:c r="A3" s="12" t="s">
        <x:v>2246</x:v>
      </x:c>
      <x:c r="B3" s="12" t="s">
        <x:v>399</x:v>
      </x:c>
      <x:c r="C3" s="12" t="s">
        <x:v>2247</x:v>
      </x:c>
      <x:c r="D3" s="12" t="s">
        <x:v>2248</x:v>
      </x:c>
      <x:c r="E3" s="12" t="s">
        <x:v>2245</x:v>
      </x:c>
    </x:row>
    <x:row r="4" ht="42" customHeight="1">
      <x:c r="A4" s="12" t="s">
        <x:v>2249</x:v>
      </x:c>
      <x:c r="B4" s="12" t="s">
        <x:v>421</x:v>
      </x:c>
      <x:c r="C4" s="12" t="s">
        <x:v>2250</x:v>
      </x:c>
      <x:c r="D4" s="12" t="s">
        <x:v>2251</x:v>
      </x:c>
      <x:c r="E4" s="12" t="s">
        <x:v>2245</x:v>
      </x:c>
    </x:row>
    <x:row r="5" ht="42" customHeight="1">
      <x:c r="A5" s="12" t="s">
        <x:v>2252</x:v>
      </x:c>
      <x:c r="B5" s="12" t="s">
        <x:v>428</x:v>
      </x:c>
      <x:c r="C5" s="12" t="s">
        <x:v>2253</x:v>
      </x:c>
      <x:c r="D5" s="12" t="s">
        <x:v>2254</x:v>
      </x:c>
      <x:c r="E5" s="12" t="s">
        <x:v>2245</x:v>
      </x:c>
    </x:row>
    <x:row r="6" ht="42" customHeight="1">
      <x:c r="A6" s="12" t="s">
        <x:v>354</x:v>
      </x:c>
      <x:c r="B6" s="12" t="s">
        <x:v>354</x:v>
      </x:c>
      <x:c r="C6" s="12" t="s">
        <x:v>2255</x:v>
      </x:c>
      <x:c r="D6" s="12" t="s">
        <x:v>2256</x:v>
      </x:c>
      <x:c r="E6" s="12" t="s">
        <x:v>2245</x:v>
      </x:c>
    </x:row>
    <x:row r="7" ht="42" customHeight="1">
      <x:c r="A7" s="12" t="s">
        <x:v>229</x:v>
      </x:c>
      <x:c r="B7" s="12" t="s">
        <x:v>229</x:v>
      </x:c>
      <x:c r="C7" s="12" t="s">
        <x:v>2257</x:v>
      </x:c>
      <x:c r="D7" s="12" t="s">
        <x:v>2258</x:v>
      </x:c>
      <x:c r="E7" s="12" t="s">
        <x:v>2259</x:v>
      </x:c>
    </x:row>
    <x:row r="8" ht="42" customHeight="1">
      <x:c r="A8" s="12" t="s">
        <x:v>2260</x:v>
      </x:c>
      <x:c r="B8" s="12" t="s">
        <x:v>433</x:v>
      </x:c>
      <x:c r="C8" s="12" t="s">
        <x:v>2261</x:v>
      </x:c>
      <x:c r="D8" s="12" t="s">
        <x:v>2262</x:v>
      </x:c>
      <x:c r="E8" s="12" t="s">
        <x:v>2245</x:v>
      </x:c>
    </x:row>
    <x:row r="9" ht="42" customHeight="1">
      <x:c r="A9" s="12" t="s">
        <x:v>2263</x:v>
      </x:c>
      <x:c r="B9" s="12" t="s">
        <x:v>432</x:v>
      </x:c>
      <x:c r="C9" s="12" t="s">
        <x:v>2264</x:v>
      </x:c>
      <x:c r="D9" s="12" t="s">
        <x:v>2265</x:v>
      </x:c>
      <x:c r="E9" s="12" t="s">
        <x:v>2245</x:v>
      </x:c>
    </x:row>
    <x:row r="10" ht="42" customHeight="1">
      <x:c r="A10" s="12" t="s">
        <x:v>140</x:v>
      </x:c>
      <x:c r="B10" s="12" t="s">
        <x:v>140</x:v>
      </x:c>
      <x:c r="C10" s="12" t="s">
        <x:v>2266</x:v>
      </x:c>
      <x:c r="D10" s="12" t="s">
        <x:v>2267</x:v>
      </x:c>
      <x:c r="E10" s="12" t="s">
        <x:v>2259</x:v>
      </x:c>
    </x:row>
    <x:row r="11" ht="42" customHeight="1">
      <x:c r="A11" s="12" t="s">
        <x:v>2268</x:v>
      </x:c>
      <x:c r="B11" s="12" t="s">
        <x:v>243</x:v>
      </x:c>
      <x:c r="C11" s="12" t="s">
        <x:v>2269</x:v>
      </x:c>
      <x:c r="D11" s="12" t="s">
        <x:v>2270</x:v>
      </x:c>
      <x:c r="E11" s="12" t="s">
        <x:v>2245</x:v>
      </x:c>
    </x:row>
    <x:row r="12" ht="42" customHeight="1">
      <x:c r="A12" s="12" t="s">
        <x:v>2271</x:v>
      </x:c>
      <x:c r="B12" s="12" t="s">
        <x:v>383</x:v>
      </x:c>
      <x:c r="C12" s="12" t="s">
        <x:v>2272</x:v>
      </x:c>
      <x:c r="D12" s="12" t="s">
        <x:v>2273</x:v>
      </x:c>
      <x:c r="E12" s="12" t="s">
        <x:v>2245</x:v>
      </x:c>
    </x:row>
    <x:row r="13" ht="42" customHeight="1">
      <x:c r="A13" s="12" t="s">
        <x:v>2274</x:v>
      </x:c>
      <x:c r="B13" s="12" t="s">
        <x:v>382</x:v>
      </x:c>
      <x:c r="C13" s="12" t="s">
        <x:v>2275</x:v>
      </x:c>
      <x:c r="D13" s="12" t="s">
        <x:v>2276</x:v>
      </x:c>
      <x:c r="E13" s="12" t="s">
        <x:v>2245</x:v>
      </x:c>
    </x:row>
  </x:sheetData>
  <x:pageMargins left="0.7" right="0.7" top="0.75" bottom="0.75" header="0.3" footer="0.3"/>
  <x:tableParts count="1">
    <x:tablePart xmlns:r="http://schemas.openxmlformats.org/officeDocument/2006/relationships" r:id="R454ba21026e24f97"/>
  </x:tableParts>
</x:worksheet>
</file>

<file path=xl/worksheets/sheet21.xml><?xml version="1.0" encoding="utf-8"?>
<x:worksheet xmlns:x="http://schemas.openxmlformats.org/spreadsheetml/2006/main">
  <x:sheetViews>
    <x:sheetView showGridLines="0" workbookViewId="0"/>
  </x:sheetViews>
  <x:sheetFormatPr defaultRowHeight="15"/>
  <x:cols>
    <x:col min="1" max="8" width="34"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s>
  <x:sheetData>
    <x:row r="1">
      <x:c r="A1" s="56" t="s">
        <x:v>21</x:v>
      </x:c>
      <x:c r="B1" s="56" t="s">
        <x:v>22</x:v>
      </x:c>
      <x:c r="C1" s="56" t="s">
        <x:v>677</x:v>
      </x:c>
      <x:c r="D1" s="56" t="s">
        <x:v>24</x:v>
      </x:c>
      <x:c r="E1" s="56" t="s">
        <x:v>14</x:v>
      </x:c>
      <x:c r="F1" s="56" t="s">
        <x:v>25</x:v>
      </x:c>
      <x:c r="G1" s="56" t="s">
        <x:v>701</x:v>
      </x:c>
      <x:c r="H1" s="56" t="s">
        <x:v>2277</x:v>
      </x:c>
      <x:c r="I1" s="77" t="str">
        <x:v>Clan Diamond Shark</x:v>
      </x:c>
      <x:c r="J1" s="77" t="str">
        <x:v>Clan Ghost Bear</x:v>
      </x:c>
      <x:c r="K1" s="77" t="str">
        <x:v>Clan Jade Falcon</x:v>
      </x:c>
      <x:c r="L1" s="77" t="str">
        <x:v>Clan Nova Cat</x:v>
      </x:c>
      <x:c r="M1" s="77" t="str">
        <x:v>Clan Smoke Jaguar</x:v>
      </x:c>
      <x:c r="N1" s="77" t="str">
        <x:v>Clan Steel Viper</x:v>
      </x:c>
      <x:c r="O1" s="77" t="str">
        <x:v>Clan Wolf</x:v>
      </x:c>
    </x:row>
    <x:row r="2" ht="30">
      <x:c r="A2" s="12" t="s">
        <x:v>572</x:v>
      </x:c>
      <x:c r="B2" s="12" t="s">
        <x:v>599</x:v>
      </x:c>
      <x:c r="C2" s="12" t="s">
        <x:v>683</x:v>
      </x:c>
      <x:c r="D2" s="12" t="s">
        <x:v>659</x:v>
      </x:c>
      <x:c r="E2" s="12" t="s">
        <x:v>548</x:v>
      </x:c>
      <x:c r="F2" s="12" t="s">
        <x:v>630</x:v>
      </x:c>
      <x:c r="G2" s="12" t="s">
        <x:v>708</x:v>
      </x:c>
      <x:c r="H2" s="12" t="s">
        <x:v>733</x:v>
      </x:c>
      <x:c r="I2" s="78" t="str">
        <x:v>31st Division “Static Hurlers”</x:v>
      </x:c>
      <x:c r="J2" s="78" t="str">
        <x:v>Twelfth Division “Pure Waveforms”</x:v>
      </x:c>
      <x:c r="K2" s="78" t="str">
        <x:v>Seventy-seventh Division “The White Monsters”</x:v>
      </x:c>
      <x:c r="L2" s="78" t="str">
        <x:v>Ninth Division “Bountiful Words”</x:v>
      </x:c>
      <x:c r="M2" s="78" t="str">
        <x:v>401st Division “The White Eagles”</x:v>
      </x:c>
      <x:c r="N2" s="78" t="str">
        <x:v>First Division “Strong Retaliation”</x:v>
      </x:c>
      <x:c r="O2" s="78" t="str">
        <x:v>198th Division “Outer Limits Warriors”</x:v>
      </x:c>
    </x:row>
    <x:row r="3" ht="30">
      <x:c r="A3" s="12" t="s">
        <x:v>577</x:v>
      </x:c>
      <x:c r="B3" s="12" t="s">
        <x:v>604</x:v>
      </x:c>
      <x:c r="C3" s="12" t="s">
        <x:v>687</x:v>
      </x:c>
      <x:c r="D3" s="12" t="s">
        <x:v>662</x:v>
      </x:c>
      <x:c r="E3" s="12" t="s">
        <x:v>553</x:v>
      </x:c>
      <x:c r="F3" s="12" t="s">
        <x:v>635</x:v>
      </x:c>
      <x:c r="G3" s="12" t="s">
        <x:v>713</x:v>
      </x:c>
      <x:c r="H3" s="12" t="s">
        <x:v>737</x:v>
      </x:c>
      <x:c r="I3" s="78" t="str">
        <x:v>56th Division “Eyes of ComStar”</x:v>
      </x:c>
      <x:c r="J3" s="78" t="str">
        <x:v>Ninety-first Division “Vision of Words”</x:v>
      </x:c>
      <x:c r="K3" s="78" t="str">
        <x:v>201st Division “Snow on the Mountains”</x:v>
      </x:c>
      <x:c r="L3" s="78" t="str">
        <x:v>244th Division “Peace Through Words”</x:v>
      </x:c>
      <x:c r="M3" s="78" t="str">
        <x:v>207th Division “The Pounders”</x:v>
      </x:c>
      <x:c r="N3" s="78" t="str">
        <x:v>Sixth Division “Alert Words”</x:v>
      </x:c>
      <x:c r="O3" s="78" t="str">
        <x:v>366th Division “ComStar Lancers”</x:v>
      </x:c>
    </x:row>
    <x:row r="4" ht="30">
      <x:c r="A4" s="12" t="s">
        <x:v>583</x:v>
      </x:c>
      <x:c r="B4" s="12" t="s">
        <x:v>612</x:v>
      </x:c>
      <x:c r="C4" s="12" t="s">
        <x:v>695</x:v>
      </x:c>
      <x:c r="D4" s="12" t="s">
        <x:v>668</x:v>
      </x:c>
      <x:c r="E4" s="12" t="s">
        <x:v>559</x:v>
      </x:c>
      <x:c r="F4" s="12" t="s">
        <x:v>642</x:v>
      </x:c>
      <x:c r="G4" s="12" t="s">
        <x:v>717</x:v>
      </x:c>
      <x:c r="H4" s="12" t="s">
        <x:v>740</x:v>
      </x:c>
      <x:c r="I4" s="78" t="str">
        <x:v>85th Division “Lions of the Periphery”</x:v>
      </x:c>
      <x:c r="J4" s="78" t="str">
        <x:v>121st Division “Effective Actions”</x:v>
      </x:c>
      <x:c r="K4" s="78" t="str">
        <x:v>388th Division “The White Banshees”</x:v>
      </x:c>
      <x:c r="L4" s="78" t="str">
        <x:v>417th Division “Major Trouble”</x:v>
      </x:c>
      <x:c r="M4" s="78" t="str">
        <x:v>323rd Division “Negative Communications”</x:v>
      </x:c>
      <x:c r="N4" s="78" t="str">
        <x:v>Seventy-eighth Division “Vigorous Defiance”</x:v>
      </x:c>
      <x:c r="O4" s="78" t="str">
        <x:v>Sixty-sixth Division “Obedience Above All”</x:v>
      </x:c>
    </x:row>
    <x:row r="5" ht="30">
      <x:c r="A5" s="12" t="s">
        <x:v>589</x:v>
      </x:c>
      <x:c r="B5" s="12" t="s">
        <x:v>620</x:v>
      </x:c>
      <x:c r="C5" s="12" t="s">
        <x:v>698</x:v>
      </x:c>
      <x:c r="D5" s="12" t="s">
        <x:v>674</x:v>
      </x:c>
      <x:c r="E5" s="12" t="s">
        <x:v>563</x:v>
      </x:c>
      <x:c r="F5" s="12" t="s">
        <x:v>648</x:v>
      </x:c>
      <x:c r="G5" s="12" t="s">
        <x:v>725</x:v>
      </x:c>
      <x:c r="H5" s="12" t="s">
        <x:v>744</x:v>
      </x:c>
      <x:c r="I5" s="78" t="str">
        <x:v>182nd Division “Standing Waves”</x:v>
      </x:c>
      <x:c r="J5" s="78" t="str">
        <x:v>90th Division “Gentle Persuasion”</x:v>
      </x:c>
      <x:c r="K5" s="78" t="str">
        <x:v>394th Division “The White Lions”</x:v>
      </x:c>
      <x:c r="L5" s="78" t="str">
        <x:v>467th Division “Whirlwinds”</x:v>
      </x:c>
      <x:c r="M5" s="78" t="str">
        <x:v>299th Division “Courtesy Through Thought”</x:v>
      </x:c>
      <x:c r="N5" s="78" t="str">
        <x:v>386th Division “The Victors”</x:v>
      </x:c>
      <x:c r="O5" s="78" t="str">
        <x:v>82nd Division “Clear Thoughts”</x:v>
      </x:c>
    </x:row>
    <x:row r="6">
      <x:c r="A6" s="12"/>
      <x:c r="B6" s="12"/>
      <x:c r="C6" s="12"/>
      <x:c r="D6" s="12"/>
      <x:c r="E6" s="12"/>
      <x:c r="F6" s="12"/>
      <x:c r="G6" s="12"/>
      <x:c r="H6" s="12" t="s">
        <x:v>748</x:v>
      </x:c>
    </x:row>
    <x:row r="7">
      <x:c r="A7" s="12"/>
      <x:c r="B7" s="12"/>
      <x:c r="C7" s="12"/>
      <x:c r="D7" s="12"/>
      <x:c r="E7" s="12"/>
      <x:c r="F7" s="12"/>
      <x:c r="G7" s="12"/>
      <x:c r="H7" s="12" t="s">
        <x:v>752</x:v>
      </x:c>
    </x:row>
    <x:row r="8">
      <x:c r="A8" s="12"/>
      <x:c r="B8" s="12"/>
      <x:c r="C8" s="12"/>
      <x:c r="D8" s="12"/>
      <x:c r="E8" s="12"/>
      <x:c r="F8" s="12"/>
      <x:c r="G8" s="12"/>
      <x:c r="H8" s="12" t="s">
        <x:v>756</x:v>
      </x:c>
    </x:row>
    <x:row r="9">
      <x:c r="A9" s="12"/>
      <x:c r="B9" s="12"/>
      <x:c r="C9" s="12"/>
      <x:c r="D9" s="12"/>
      <x:c r="E9" s="12"/>
      <x:c r="F9" s="12"/>
      <x:c r="G9" s="12"/>
      <x:c r="H9" s="12" t="s">
        <x:v>759</x:v>
      </x:c>
    </x:row>
    <x:row r="10">
      <x:c r="A10" s="12"/>
      <x:c r="B10" s="12"/>
      <x:c r="C10" s="12"/>
      <x:c r="D10" s="12"/>
      <x:c r="E10" s="12"/>
      <x:c r="F10" s="12"/>
      <x:c r="G10" s="12"/>
      <x:c r="H10" s="12" t="s">
        <x:v>763</x:v>
      </x:c>
    </x:row>
    <x:row r="11" ht="30">
      <x:c r="A11" s="12"/>
      <x:c r="B11" s="12"/>
      <x:c r="C11" s="12"/>
      <x:c r="D11" s="12"/>
      <x:c r="E11" s="12"/>
      <x:c r="F11" s="12"/>
      <x:c r="G11" s="12"/>
      <x:c r="H11" s="12" t="s">
        <x:v>768</x:v>
      </x:c>
    </x:row>
    <x:row r="12">
      <x:c r="A12" s="12"/>
      <x:c r="B12" s="12"/>
      <x:c r="C12" s="12"/>
      <x:c r="D12" s="12"/>
      <x:c r="E12" s="12"/>
      <x:c r="F12" s="12"/>
      <x:c r="G12" s="12"/>
      <x:c r="H12" s="12" t="s">
        <x:v>773</x:v>
      </x:c>
    </x:row>
    <x:row r="13">
      <x:c r="A13" s="12"/>
      <x:c r="B13" s="12"/>
      <x:c r="C13" s="12"/>
      <x:c r="D13" s="12"/>
      <x:c r="E13" s="12"/>
      <x:c r="F13" s="12"/>
      <x:c r="G13" s="12"/>
      <x:c r="H13" s="12" t="s">
        <x:v>779</x:v>
      </x:c>
    </x:row>
    <x:row r="14">
      <x:c r="A14" s="12"/>
      <x:c r="B14" s="12"/>
      <x:c r="C14" s="12"/>
      <x:c r="D14" s="12"/>
      <x:c r="E14" s="12"/>
      <x:c r="F14" s="12"/>
      <x:c r="G14" s="12"/>
      <x:c r="H14" s="12" t="s">
        <x:v>786</x:v>
      </x:c>
    </x:row>
    <x:row r="15">
      <x:c r="A15" s="12"/>
      <x:c r="B15" s="12"/>
      <x:c r="C15" s="12"/>
      <x:c r="D15" s="12"/>
      <x:c r="E15" s="12"/>
      <x:c r="F15" s="12"/>
      <x:c r="G15" s="12"/>
      <x:c r="H15" s="12" t="s">
        <x:v>791</x:v>
      </x:c>
    </x:row>
    <x:row r="16" ht="30">
      <x:c r="A16" s="12"/>
      <x:c r="B16" s="12"/>
      <x:c r="C16" s="12"/>
      <x:c r="D16" s="12"/>
      <x:c r="E16" s="12"/>
      <x:c r="F16" s="12"/>
      <x:c r="G16" s="12"/>
      <x:c r="H16" s="12" t="s">
        <x:v>795</x:v>
      </x:c>
    </x:row>
    <x:row r="17">
      <x:c r="A17" s="12"/>
      <x:c r="B17" s="12"/>
      <x:c r="C17" s="12"/>
      <x:c r="D17" s="12"/>
      <x:c r="E17" s="12"/>
      <x:c r="F17" s="12"/>
      <x:c r="G17" s="12"/>
      <x:c r="H17" s="12" t="s">
        <x:v>799</x:v>
      </x:c>
    </x:row>
    <x:row r="18">
      <x:c r="A18" s="12"/>
      <x:c r="B18" s="12"/>
      <x:c r="C18" s="12"/>
      <x:c r="D18" s="12"/>
      <x:c r="E18" s="12"/>
      <x:c r="F18" s="12"/>
      <x:c r="G18" s="12"/>
      <x:c r="H18" s="12" t="s">
        <x:v>804</x:v>
      </x:c>
    </x:row>
    <x:row r="19" ht="30">
      <x:c r="A19" s="12"/>
      <x:c r="B19" s="12"/>
      <x:c r="C19" s="12"/>
      <x:c r="D19" s="12"/>
      <x:c r="E19" s="12"/>
      <x:c r="F19" s="12"/>
      <x:c r="G19" s="12"/>
      <x:c r="H19" s="12" t="s">
        <x:v>808</x:v>
      </x:c>
    </x:row>
    <x:row r="20">
      <x:c r="A20" s="12"/>
      <x:c r="B20" s="12"/>
      <x:c r="C20" s="12"/>
      <x:c r="D20" s="12"/>
      <x:c r="E20" s="12"/>
      <x:c r="F20" s="12"/>
      <x:c r="G20" s="12"/>
      <x:c r="H20" s="12" t="s">
        <x:v>812</x:v>
      </x:c>
    </x:row>
    <x:row r="21">
      <x:c r="A21" s="12"/>
      <x:c r="B21" s="12"/>
      <x:c r="C21" s="12"/>
      <x:c r="D21" s="12"/>
      <x:c r="E21" s="12"/>
      <x:c r="F21" s="12"/>
      <x:c r="G21" s="12"/>
      <x:c r="H21" s="12" t="s">
        <x:v>816</x:v>
      </x:c>
    </x:row>
    <x:row r="22" ht="30">
      <x:c r="A22" s="12"/>
      <x:c r="B22" s="12"/>
      <x:c r="C22" s="12"/>
      <x:c r="D22" s="12"/>
      <x:c r="E22" s="12"/>
      <x:c r="F22" s="12"/>
      <x:c r="G22" s="12"/>
      <x:c r="H22" s="12" t="s">
        <x:v>820</x:v>
      </x:c>
    </x:row>
    <x:row r="23" ht="30">
      <x:c r="A23" s="12"/>
      <x:c r="B23" s="12"/>
      <x:c r="C23" s="12"/>
      <x:c r="D23" s="12"/>
      <x:c r="E23" s="12"/>
      <x:c r="F23" s="12"/>
      <x:c r="G23" s="12"/>
      <x:c r="H23" s="12" t="s">
        <x:v>824</x:v>
      </x:c>
    </x:row>
    <x:row r="24">
      <x:c r="A24" s="12"/>
      <x:c r="B24" s="12"/>
      <x:c r="C24" s="12"/>
      <x:c r="D24" s="12"/>
      <x:c r="E24" s="12"/>
      <x:c r="F24" s="12"/>
      <x:c r="G24" s="12"/>
      <x:c r="H24" s="12" t="s">
        <x:v>829</x:v>
      </x:c>
    </x:row>
    <x:row r="25">
      <x:c r="A25" s="12"/>
      <x:c r="B25" s="12"/>
      <x:c r="C25" s="12"/>
      <x:c r="D25" s="12"/>
      <x:c r="E25" s="12"/>
      <x:c r="F25" s="12"/>
      <x:c r="G25" s="12"/>
      <x:c r="H25" s="12" t="s">
        <x:v>834</x:v>
      </x:c>
    </x:row>
    <x:row r="26" ht="30">
      <x:c r="A26" s="12"/>
      <x:c r="B26" s="12"/>
      <x:c r="C26" s="12"/>
      <x:c r="D26" s="12"/>
      <x:c r="E26" s="12"/>
      <x:c r="F26" s="12"/>
      <x:c r="G26" s="12"/>
      <x:c r="H26" s="12" t="s">
        <x:v>839</x:v>
      </x:c>
    </x:row>
    <x:row r="27">
      <x:c r="A27" s="12"/>
      <x:c r="B27" s="12"/>
      <x:c r="C27" s="12"/>
      <x:c r="D27" s="12"/>
      <x:c r="E27" s="12"/>
      <x:c r="F27" s="12"/>
      <x:c r="G27" s="12"/>
      <x:c r="H27" s="12" t="s">
        <x:v>843</x:v>
      </x:c>
    </x:row>
    <x:row r="28" ht="30">
      <x:c r="A28" s="12"/>
      <x:c r="B28" s="12"/>
      <x:c r="C28" s="12"/>
      <x:c r="D28" s="12"/>
      <x:c r="E28" s="12"/>
      <x:c r="F28" s="12"/>
      <x:c r="G28" s="12"/>
      <x:c r="H28" s="12" t="s">
        <x:v>849</x:v>
      </x:c>
    </x:row>
    <x:row r="29">
      <x:c r="A29" s="12"/>
      <x:c r="B29" s="12"/>
      <x:c r="C29" s="12"/>
      <x:c r="D29" s="12"/>
      <x:c r="E29" s="12"/>
      <x:c r="F29" s="12"/>
      <x:c r="G29" s="12"/>
      <x:c r="H29" s="12" t="s">
        <x:v>852</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44" hidden="0" customWidth="1"/>
    <x:col min="2" max="2" width="40" hidden="0" customWidth="1"/>
    <x:col min="3" max="3" width="10" hidden="0" customWidth="1"/>
    <x:col min="4" max="4" width="10" hidden="0" customWidth="1"/>
    <x:col min="5" max="5" width="42" hidden="0" customWidth="1"/>
    <x:col min="6" max="6" width="8" hidden="0" customWidth="1"/>
    <x:col min="7" max="7" width="22" hidden="0" customWidth="1"/>
    <x:col min="8" max="8" width="22" hidden="0" customWidth="1"/>
    <x:col min="9" max="9" width="38" hidden="0" customWidth="1"/>
    <x:col min="10" max="10" width="38" hidden="0" customWidth="1"/>
    <x:col min="11" max="11" width="30" hidden="0" customWidth="1"/>
    <x:col min="12" max="12" width="48" hidden="0" customWidth="1"/>
  </x:cols>
  <x:sheetData>
    <x:row r="1">
      <x:c r="A1" s="90" t="str">
        <x:v>Lookup Key</x:v>
      </x:c>
      <x:c r="B1" s="90" t="str">
        <x:v>Command Unit</x:v>
      </x:c>
      <x:c r="C1" s="90" t="str">
        <x:v>Slot</x:v>
      </x:c>
      <x:c r="D1" s="90" t="str">
        <x:v>Side</x:v>
      </x:c>
      <x:c r="E1" s="90" t="str">
        <x:v>Component</x:v>
      </x:c>
      <x:c r="F1" s="90" t="str">
        <x:v>Qty</x:v>
      </x:c>
      <x:c r="G1" s="90" t="str">
        <x:v>Weight / Designation</x:v>
      </x:c>
      <x:c r="H1" s="90" t="str">
        <x:v>Organization</x:v>
      </x:c>
      <x:c r="I1" s="90" t="str">
        <x:v>Formation Source</x:v>
      </x:c>
      <x:c r="J1" s="90" t="str">
        <x:v>RAT Route</x:v>
      </x:c>
      <x:c r="K1" s="90" t="str">
        <x:v>Status</x:v>
      </x:c>
      <x:c r="L1" s="90" t="str">
        <x:v>Notes</x:v>
      </x:c>
    </x:row>
    <x:row r="2">
      <x:c r="A2" t="str">
        <x:v>Sixth Jaguar Dragoons “The Wolfslayers”|1</x:v>
      </x:c>
      <x:c r="B2" t="str">
        <x:v>Sixth Jaguar Dragoons “The Wolfslayers”</x:v>
      </x:c>
      <x:c r="C2" t="n">
        <x:v>1</x:v>
      </x:c>
      <x:c r="D2" t="str">
        <x:v>Clan</x:v>
      </x:c>
      <x:c r="E2" t="str">
        <x:v>Heavy ’Mech Trinary</x:v>
      </x:c>
      <x:c r="F2" t="n">
        <x:v>1</x:v>
      </x:c>
      <x:c r="G2" t="str">
        <x:v>Heavy</x:v>
      </x:c>
      <x:c r="H2" t="str">
        <x:v>Trinary</x:v>
      </x:c>
      <x:c r="I2" t="str">
        <x:v>Heavy Trinary — Clan Formations</x:v>
      </x:c>
      <x:c r="J2" t="str">
        <x:v>Clan Heavy ’Mechs → rolled formation type</x:v>
      </x:c>
      <x:c r="K2" t="str">
        <x:v>Ready for formation roll</x:v>
      </x:c>
      <x:c r="L2"/>
    </x:row>
    <x:row r="3">
      <x:c r="A3" t="str">
        <x:v>Sixth Jaguar Dragoons “The Wolfslayers”|2</x:v>
      </x:c>
      <x:c r="B3" t="str">
        <x:v>Sixth Jaguar Dragoons “The Wolfslayers”</x:v>
      </x:c>
      <x:c r="C3" t="n">
        <x:v>2</x:v>
      </x:c>
      <x:c r="D3" t="str">
        <x:v>Clan</x:v>
      </x:c>
      <x:c r="E3" t="str">
        <x:v>Heavy ’Mech Trinary</x:v>
      </x:c>
      <x:c r="F3" t="n">
        <x:v>1</x:v>
      </x:c>
      <x:c r="G3" t="str">
        <x:v>Heavy</x:v>
      </x:c>
      <x:c r="H3" t="str">
        <x:v>Trinary</x:v>
      </x:c>
      <x:c r="I3" t="str">
        <x:v>Heavy Trinary — Clan Formations</x:v>
      </x:c>
      <x:c r="J3" t="str">
        <x:v>Clan Heavy ’Mechs → rolled formation type</x:v>
      </x:c>
      <x:c r="K3" t="str">
        <x:v>Ready for formation roll</x:v>
      </x:c>
      <x:c r="L3"/>
    </x:row>
    <x:row r="4">
      <x:c r="A4" t="str">
        <x:v>Sixth Jaguar Dragoons “The Wolfslayers”|3</x:v>
      </x:c>
      <x:c r="B4" t="str">
        <x:v>Sixth Jaguar Dragoons “The Wolfslayers”</x:v>
      </x:c>
      <x:c r="C4" t="n">
        <x:v>3</x:v>
      </x:c>
      <x:c r="D4" t="str">
        <x:v>Clan</x:v>
      </x:c>
      <x:c r="E4" t="str">
        <x:v>Heavy ’Mech Trinary</x:v>
      </x:c>
      <x:c r="F4" t="n">
        <x:v>1</x:v>
      </x:c>
      <x:c r="G4" t="str">
        <x:v>Heavy</x:v>
      </x:c>
      <x:c r="H4" t="str">
        <x:v>Trinary</x:v>
      </x:c>
      <x:c r="I4" t="str">
        <x:v>Heavy Trinary — Clan Formations</x:v>
      </x:c>
      <x:c r="J4" t="str">
        <x:v>Clan Heavy ’Mechs → rolled formation type</x:v>
      </x:c>
      <x:c r="K4" t="str">
        <x:v>Ready for formation roll</x:v>
      </x:c>
      <x:c r="L4"/>
    </x:row>
    <x:row r="5">
      <x:c r="A5" t="str">
        <x:v>Sixth Jaguar Dragoons “The Wolfslayers”|4</x:v>
      </x:c>
      <x:c r="B5" t="str">
        <x:v>Sixth Jaguar Dragoons “The Wolfslayers”</x:v>
      </x:c>
      <x:c r="C5" t="n">
        <x:v>4</x:v>
      </x:c>
      <x:c r="D5" t="str">
        <x:v>Clan</x:v>
      </x:c>
      <x:c r="E5" t="str">
        <x:v>Elemental Binary</x:v>
      </x:c>
      <x:c r="F5" t="n">
        <x:v>1</x:v>
      </x:c>
      <x:c r="G5" t="str">
        <x:v>—</x:v>
      </x:c>
      <x:c r="H5" t="str">
        <x:v>Battle Armor</x:v>
      </x:c>
      <x:c r="I5" t="str">
        <x:v>Non-BattleMechs — Elemental entries (future scope)</x:v>
      </x:c>
      <x:c r="J5" t="str">
        <x:v>Elemental Battle Armor; forced May 3052 availability</x:v>
      </x:c>
      <x:c r="K5" t="str">
        <x:v>Deferred</x:v>
      </x:c>
      <x:c r="L5" t="str">
        <x:v>Recorded as its own component; not generated in the current ’Mech-only stage.</x:v>
      </x:c>
    </x:row>
    <x:row r="6">
      <x:c r="A6" t="str">
        <x:v>Sixth Jaguar Dragoons “The Wolfslayers”|5</x:v>
      </x:c>
      <x:c r="B6" t="str">
        <x:v>Sixth Jaguar Dragoons “The Wolfslayers”</x:v>
      </x:c>
      <x:c r="C6" t="n">
        <x:v>5</x:v>
      </x:c>
      <x:c r="D6" t="str">
        <x:v>Clan</x:v>
      </x:c>
      <x:c r="E6" t="str">
        <x:v>Aerospace Binary</x:v>
      </x:c>
      <x:c r="F6" t="n">
        <x:v>1</x:v>
      </x:c>
      <x:c r="G6" t="str">
        <x:v>—</x:v>
      </x:c>
      <x:c r="H6" t="str">
        <x:v>Aerospace</x:v>
      </x:c>
      <x:c r="I6" t="str">
        <x:v>Deferred — outside current ’Mech scope</x:v>
      </x:c>
      <x:c r="J6" t="str">
        <x:v>None</x:v>
      </x:c>
      <x:c r="K6" t="str">
        <x:v>Deferred</x:v>
      </x:c>
      <x:c r="L6" t="str">
        <x:v>Recorded as its own component; not generated in the current ’Mech-only stage.</x:v>
      </x:c>
    </x:row>
    <x:row r="7">
      <x:c r="A7" t="str">
        <x:v>Jaguar Grenadiers “Shadow Stalkers”|1</x:v>
      </x:c>
      <x:c r="B7" t="str">
        <x:v>Jaguar Grenadiers “Shadow Stalkers”</x:v>
      </x:c>
      <x:c r="C7" t="n">
        <x:v>1</x:v>
      </x:c>
      <x:c r="D7" t="str">
        <x:v>Clan</x:v>
      </x:c>
      <x:c r="E7" t="str">
        <x:v>Heavy ’Mech Trinary</x:v>
      </x:c>
      <x:c r="F7" t="n">
        <x:v>1</x:v>
      </x:c>
      <x:c r="G7" t="str">
        <x:v>Heavy</x:v>
      </x:c>
      <x:c r="H7" t="str">
        <x:v>Trinary</x:v>
      </x:c>
      <x:c r="I7" t="str">
        <x:v>Heavy Trinary — Clan Formations</x:v>
      </x:c>
      <x:c r="J7" t="str">
        <x:v>Clan Heavy ’Mechs → rolled formation type</x:v>
      </x:c>
      <x:c r="K7" t="str">
        <x:v>Ready for formation roll</x:v>
      </x:c>
      <x:c r="L7"/>
    </x:row>
    <x:row r="8">
      <x:c r="A8" t="str">
        <x:v>Jaguar Grenadiers “Shadow Stalkers”|2</x:v>
      </x:c>
      <x:c r="B8" t="str">
        <x:v>Jaguar Grenadiers “Shadow Stalkers”</x:v>
      </x:c>
      <x:c r="C8" t="n">
        <x:v>2</x:v>
      </x:c>
      <x:c r="D8" t="str">
        <x:v>Clan</x:v>
      </x:c>
      <x:c r="E8" t="str">
        <x:v>Heavy ’Mech Trinary</x:v>
      </x:c>
      <x:c r="F8" t="n">
        <x:v>1</x:v>
      </x:c>
      <x:c r="G8" t="str">
        <x:v>Heavy</x:v>
      </x:c>
      <x:c r="H8" t="str">
        <x:v>Trinary</x:v>
      </x:c>
      <x:c r="I8" t="str">
        <x:v>Heavy Trinary — Clan Formations</x:v>
      </x:c>
      <x:c r="J8" t="str">
        <x:v>Clan Heavy ’Mechs → rolled formation type</x:v>
      </x:c>
      <x:c r="K8" t="str">
        <x:v>Ready for formation roll</x:v>
      </x:c>
      <x:c r="L8"/>
    </x:row>
    <x:row r="9">
      <x:c r="A9" t="str">
        <x:v>Jaguar Grenadiers “Shadow Stalkers”|3</x:v>
      </x:c>
      <x:c r="B9" t="str">
        <x:v>Jaguar Grenadiers “Shadow Stalkers”</x:v>
      </x:c>
      <x:c r="C9" t="n">
        <x:v>3</x:v>
      </x:c>
      <x:c r="D9" t="str">
        <x:v>Clan</x:v>
      </x:c>
      <x:c r="E9" t="str">
        <x:v>Heavy ’Mech Trinary</x:v>
      </x:c>
      <x:c r="F9" t="n">
        <x:v>1</x:v>
      </x:c>
      <x:c r="G9" t="str">
        <x:v>Heavy</x:v>
      </x:c>
      <x:c r="H9" t="str">
        <x:v>Trinary</x:v>
      </x:c>
      <x:c r="I9" t="str">
        <x:v>Heavy Trinary — Clan Formations</x:v>
      </x:c>
      <x:c r="J9" t="str">
        <x:v>Clan Heavy ’Mechs → rolled formation type</x:v>
      </x:c>
      <x:c r="K9" t="str">
        <x:v>Ready for formation roll</x:v>
      </x:c>
      <x:c r="L9"/>
    </x:row>
    <x:row r="10">
      <x:c r="A10" t="str">
        <x:v>Jaguar Grenadiers “Shadow Stalkers”|4</x:v>
      </x:c>
      <x:c r="B10" t="str">
        <x:v>Jaguar Grenadiers “Shadow Stalkers”</x:v>
      </x:c>
      <x:c r="C10" t="n">
        <x:v>4</x:v>
      </x:c>
      <x:c r="D10" t="str">
        <x:v>Clan</x:v>
      </x:c>
      <x:c r="E10" t="str">
        <x:v>Heavy ’Mech Trinary</x:v>
      </x:c>
      <x:c r="F10" t="n">
        <x:v>1</x:v>
      </x:c>
      <x:c r="G10" t="str">
        <x:v>Heavy</x:v>
      </x:c>
      <x:c r="H10" t="str">
        <x:v>Trinary</x:v>
      </x:c>
      <x:c r="I10" t="str">
        <x:v>Heavy Trinary — Clan Formations</x:v>
      </x:c>
      <x:c r="J10" t="str">
        <x:v>Clan Heavy ’Mechs → rolled formation type</x:v>
      </x:c>
      <x:c r="K10" t="str">
        <x:v>Ready for formation roll</x:v>
      </x:c>
      <x:c r="L10"/>
    </x:row>
    <x:row r="11">
      <x:c r="A11" t="str">
        <x:v>Jaguar Grenadiers “Shadow Stalkers”|5</x:v>
      </x:c>
      <x:c r="B11" t="str">
        <x:v>Jaguar Grenadiers “Shadow Stalkers”</x:v>
      </x:c>
      <x:c r="C11" t="n">
        <x:v>5</x:v>
      </x:c>
      <x:c r="D11" t="str">
        <x:v>Clan</x:v>
      </x:c>
      <x:c r="E11" t="str">
        <x:v>Heavy ’Mech Trinary</x:v>
      </x:c>
      <x:c r="F11" t="n">
        <x:v>1</x:v>
      </x:c>
      <x:c r="G11" t="str">
        <x:v>Heavy</x:v>
      </x:c>
      <x:c r="H11" t="str">
        <x:v>Trinary</x:v>
      </x:c>
      <x:c r="I11" t="str">
        <x:v>Heavy Trinary — Clan Formations</x:v>
      </x:c>
      <x:c r="J11" t="str">
        <x:v>Clan Heavy ’Mechs → rolled formation type</x:v>
      </x:c>
      <x:c r="K11" t="str">
        <x:v>Ready for formation roll</x:v>
      </x:c>
      <x:c r="L11"/>
    </x:row>
    <x:row r="12">
      <x:c r="A12" t="str">
        <x:v>Jaguar Grenadiers “Shadow Stalkers”|6</x:v>
      </x:c>
      <x:c r="B12" t="str">
        <x:v>Jaguar Grenadiers “Shadow Stalkers”</x:v>
      </x:c>
      <x:c r="C12" t="n">
        <x:v>6</x:v>
      </x:c>
      <x:c r="D12" t="str">
        <x:v>Clan</x:v>
      </x:c>
      <x:c r="E12" t="str">
        <x:v>Elemental Binary</x:v>
      </x:c>
      <x:c r="F12" t="n">
        <x:v>1</x:v>
      </x:c>
      <x:c r="G12" t="str">
        <x:v>—</x:v>
      </x:c>
      <x:c r="H12" t="str">
        <x:v>Battle Armor</x:v>
      </x:c>
      <x:c r="I12" t="str">
        <x:v>Non-BattleMechs — Elemental entries (future scope)</x:v>
      </x:c>
      <x:c r="J12" t="str">
        <x:v>Elemental Battle Armor; forced May 3052 availability</x:v>
      </x:c>
      <x:c r="K12" t="str">
        <x:v>Deferred</x:v>
      </x:c>
      <x:c r="L12" t="str">
        <x:v>Recorded as its own component; not generated in the current ’Mech-only stage.</x:v>
      </x:c>
    </x:row>
    <x:row r="13">
      <x:c r="A13" t="str">
        <x:v>First Jaguar Guards “The Whitewatch”|1</x:v>
      </x:c>
      <x:c r="B13" t="str">
        <x:v>First Jaguar Guards “The Whitewatch”</x:v>
      </x:c>
      <x:c r="C13" t="n">
        <x:v>1</x:v>
      </x:c>
      <x:c r="D13" t="str">
        <x:v>Clan</x:v>
      </x:c>
      <x:c r="E13" t="str">
        <x:v>Heavy ’Mech Trinary</x:v>
      </x:c>
      <x:c r="F13" t="n">
        <x:v>1</x:v>
      </x:c>
      <x:c r="G13" t="str">
        <x:v>Heavy</x:v>
      </x:c>
      <x:c r="H13" t="str">
        <x:v>Trinary</x:v>
      </x:c>
      <x:c r="I13" t="str">
        <x:v>Heavy Trinary — Clan Formations</x:v>
      </x:c>
      <x:c r="J13" t="str">
        <x:v>Clan Heavy ’Mechs → rolled formation type</x:v>
      </x:c>
      <x:c r="K13" t="str">
        <x:v>Ready for formation roll</x:v>
      </x:c>
      <x:c r="L13"/>
    </x:row>
    <x:row r="14">
      <x:c r="A14" t="str">
        <x:v>First Jaguar Guards “The Whitewatch”|2</x:v>
      </x:c>
      <x:c r="B14" t="str">
        <x:v>First Jaguar Guards “The Whitewatch”</x:v>
      </x:c>
      <x:c r="C14" t="n">
        <x:v>2</x:v>
      </x:c>
      <x:c r="D14" t="str">
        <x:v>Clan</x:v>
      </x:c>
      <x:c r="E14" t="str">
        <x:v>Heavy ’Mech Trinary</x:v>
      </x:c>
      <x:c r="F14" t="n">
        <x:v>1</x:v>
      </x:c>
      <x:c r="G14" t="str">
        <x:v>Heavy</x:v>
      </x:c>
      <x:c r="H14" t="str">
        <x:v>Trinary</x:v>
      </x:c>
      <x:c r="I14" t="str">
        <x:v>Heavy Trinary — Clan Formations</x:v>
      </x:c>
      <x:c r="J14" t="str">
        <x:v>Clan Heavy ’Mechs → rolled formation type</x:v>
      </x:c>
      <x:c r="K14" t="str">
        <x:v>Ready for formation roll</x:v>
      </x:c>
      <x:c r="L14"/>
    </x:row>
    <x:row r="15">
      <x:c r="A15" t="str">
        <x:v>First Jaguar Guards “The Whitewatch”|3</x:v>
      </x:c>
      <x:c r="B15" t="str">
        <x:v>First Jaguar Guards “The Whitewatch”</x:v>
      </x:c>
      <x:c r="C15" t="n">
        <x:v>3</x:v>
      </x:c>
      <x:c r="D15" t="str">
        <x:v>Clan</x:v>
      </x:c>
      <x:c r="E15" t="str">
        <x:v>Heavy ’Mech Trinary</x:v>
      </x:c>
      <x:c r="F15" t="n">
        <x:v>1</x:v>
      </x:c>
      <x:c r="G15" t="str">
        <x:v>Heavy</x:v>
      </x:c>
      <x:c r="H15" t="str">
        <x:v>Trinary</x:v>
      </x:c>
      <x:c r="I15" t="str">
        <x:v>Heavy Trinary — Clan Formations</x:v>
      </x:c>
      <x:c r="J15" t="str">
        <x:v>Clan Heavy ’Mechs → rolled formation type</x:v>
      </x:c>
      <x:c r="K15" t="str">
        <x:v>Ready for formation roll</x:v>
      </x:c>
      <x:c r="L15"/>
    </x:row>
    <x:row r="16">
      <x:c r="A16" t="str">
        <x:v>First Jaguar Guards “The Whitewatch”|4</x:v>
      </x:c>
      <x:c r="B16" t="str">
        <x:v>First Jaguar Guards “The Whitewatch”</x:v>
      </x:c>
      <x:c r="C16" t="n">
        <x:v>4</x:v>
      </x:c>
      <x:c r="D16" t="str">
        <x:v>Clan</x:v>
      </x:c>
      <x:c r="E16" t="str">
        <x:v>Elemental Trinary</x:v>
      </x:c>
      <x:c r="F16" t="n">
        <x:v>1</x:v>
      </x:c>
      <x:c r="G16" t="str">
        <x:v>—</x:v>
      </x:c>
      <x:c r="H16" t="str">
        <x:v>Battle Armor</x:v>
      </x:c>
      <x:c r="I16" t="str">
        <x:v>Non-BattleMechs — Elemental entries (future scope)</x:v>
      </x:c>
      <x:c r="J16" t="str">
        <x:v>Elemental Battle Armor; forced May 3052 availability</x:v>
      </x:c>
      <x:c r="K16" t="str">
        <x:v>Deferred</x:v>
      </x:c>
      <x:c r="L16" t="str">
        <x:v>Recorded as its own component; not generated in the current ’Mech-only stage.</x:v>
      </x:c>
    </x:row>
    <x:row r="17">
      <x:c r="A17" t="str">
        <x:v>First Jaguar Guards “The Whitewatch”|5</x:v>
      </x:c>
      <x:c r="B17" t="str">
        <x:v>First Jaguar Guards “The Whitewatch”</x:v>
      </x:c>
      <x:c r="C17" t="n">
        <x:v>5</x:v>
      </x:c>
      <x:c r="D17" t="str">
        <x:v>Clan</x:v>
      </x:c>
      <x:c r="E17" t="str">
        <x:v>Trinary Striker (2 Medium ’Mech Star, Aerospace Star)</x:v>
      </x:c>
      <x:c r="F17" t="n">
        <x:v>1</x:v>
      </x:c>
      <x:c r="G17" t="str">
        <x:v>Medium</x:v>
      </x:c>
      <x:c r="H17" t="str">
        <x:v>Trinary</x:v>
      </x:c>
      <x:c r="I17" t="str">
        <x:v>Medium Trinary — Clan Formations</x:v>
      </x:c>
      <x:c r="J17" t="str">
        <x:v>Clan Medium ’Mechs → rolled formation type</x:v>
      </x:c>
      <x:c r="K17" t="str">
        <x:v>’Mech portion active; support deferred</x:v>
      </x:c>
      <x:c r="L17" t="str">
        <x:v>Use the two Medium ’Mech Stars; the Aerospace Star remains deferred.</x:v>
      </x:c>
    </x:row>
    <x:row r="18">
      <x:c r="A18" t="str">
        <x:v>267th Cluster “The Devil’s Mist”|1</x:v>
      </x:c>
      <x:c r="B18" t="str">
        <x:v>267th Cluster “The Devil’s Mist”</x:v>
      </x:c>
      <x:c r="C18" t="n">
        <x:v>1</x:v>
      </x:c>
      <x:c r="D18" t="str">
        <x:v>Clan</x:v>
      </x:c>
      <x:c r="E18" t="str">
        <x:v>Heavy Supernova</x:v>
      </x:c>
      <x:c r="F18" t="n">
        <x:v>1</x:v>
      </x:c>
      <x:c r="G18" t="str">
        <x:v>Heavy</x:v>
      </x:c>
      <x:c r="H18" t="str">
        <x:v>Supernova</x:v>
      </x:c>
      <x:c r="I18" t="str">
        <x:v>Heavy Trinary — Clan Formations</x:v>
      </x:c>
      <x:c r="J18" t="str">
        <x:v>Clan Heavy ’Mechs → rolled formation type</x:v>
      </x:c>
      <x:c r="K18" t="str">
        <x:v>Ready for formation roll</x:v>
      </x:c>
      <x:c r="L18" t="str">
        <x:v>Use the ’Mech portion only; attached Elementals remain deferred.</x:v>
      </x:c>
    </x:row>
    <x:row r="19">
      <x:c r="A19" t="str">
        <x:v>267th Cluster “The Devil’s Mist”|2</x:v>
      </x:c>
      <x:c r="B19" t="str">
        <x:v>267th Cluster “The Devil’s Mist”</x:v>
      </x:c>
      <x:c r="C19" t="n">
        <x:v>2</x:v>
      </x:c>
      <x:c r="D19" t="str">
        <x:v>Clan</x:v>
      </x:c>
      <x:c r="E19" t="str">
        <x:v>Heavy Supernova</x:v>
      </x:c>
      <x:c r="F19" t="n">
        <x:v>1</x:v>
      </x:c>
      <x:c r="G19" t="str">
        <x:v>Heavy</x:v>
      </x:c>
      <x:c r="H19" t="str">
        <x:v>Supernova</x:v>
      </x:c>
      <x:c r="I19" t="str">
        <x:v>Heavy Trinary — Clan Formations</x:v>
      </x:c>
      <x:c r="J19" t="str">
        <x:v>Clan Heavy ’Mechs → rolled formation type</x:v>
      </x:c>
      <x:c r="K19" t="str">
        <x:v>Ready for formation roll</x:v>
      </x:c>
      <x:c r="L19" t="str">
        <x:v>Use the ’Mech portion only; attached Elementals remain deferred.</x:v>
      </x:c>
    </x:row>
    <x:row r="20">
      <x:c r="A20" t="str">
        <x:v>267th Cluster “The Devil’s Mist”|3</x:v>
      </x:c>
      <x:c r="B20" t="str">
        <x:v>267th Cluster “The Devil’s Mist”</x:v>
      </x:c>
      <x:c r="C20" t="n">
        <x:v>3</x:v>
      </x:c>
      <x:c r="D20" t="str">
        <x:v>Clan</x:v>
      </x:c>
      <x:c r="E20" t="str">
        <x:v>Heavy ’Mech Trinary</x:v>
      </x:c>
      <x:c r="F20" t="n">
        <x:v>1</x:v>
      </x:c>
      <x:c r="G20" t="str">
        <x:v>Heavy</x:v>
      </x:c>
      <x:c r="H20" t="str">
        <x:v>Trinary</x:v>
      </x:c>
      <x:c r="I20" t="str">
        <x:v>Heavy Trinary — Clan Formations</x:v>
      </x:c>
      <x:c r="J20" t="str">
        <x:v>Clan Heavy ’Mechs → rolled formation type</x:v>
      </x:c>
      <x:c r="K20" t="str">
        <x:v>Ready for formation roll</x:v>
      </x:c>
      <x:c r="L20"/>
    </x:row>
    <x:row r="21">
      <x:c r="A21" t="str">
        <x:v>267th Cluster “The Devil’s Mist”|4</x:v>
      </x:c>
      <x:c r="B21" t="str">
        <x:v>267th Cluster “The Devil’s Mist”</x:v>
      </x:c>
      <x:c r="C21" t="n">
        <x:v>4</x:v>
      </x:c>
      <x:c r="D21" t="str">
        <x:v>Clan</x:v>
      </x:c>
      <x:c r="E21" t="str">
        <x:v>Heavy ’Mech Trinary</x:v>
      </x:c>
      <x:c r="F21" t="n">
        <x:v>1</x:v>
      </x:c>
      <x:c r="G21" t="str">
        <x:v>Heavy</x:v>
      </x:c>
      <x:c r="H21" t="str">
        <x:v>Trinary</x:v>
      </x:c>
      <x:c r="I21" t="str">
        <x:v>Heavy Trinary — Clan Formations</x:v>
      </x:c>
      <x:c r="J21" t="str">
        <x:v>Clan Heavy ’Mechs → rolled formation type</x:v>
      </x:c>
      <x:c r="K21" t="str">
        <x:v>Ready for formation roll</x:v>
      </x:c>
      <x:c r="L21"/>
    </x:row>
    <x:row r="22">
      <x:c r="A22" t="str">
        <x:v>267th Cluster “The Devil’s Mist”|5</x:v>
      </x:c>
      <x:c r="B22" t="str">
        <x:v>267th Cluster “The Devil’s Mist”</x:v>
      </x:c>
      <x:c r="C22" t="n">
        <x:v>5</x:v>
      </x:c>
      <x:c r="D22" t="str">
        <x:v>Clan</x:v>
      </x:c>
      <x:c r="E22" t="str">
        <x:v>Elemental Trinary</x:v>
      </x:c>
      <x:c r="F22" t="n">
        <x:v>1</x:v>
      </x:c>
      <x:c r="G22" t="str">
        <x:v>—</x:v>
      </x:c>
      <x:c r="H22" t="str">
        <x:v>Battle Armor</x:v>
      </x:c>
      <x:c r="I22" t="str">
        <x:v>Non-BattleMechs — Elemental entries (future scope)</x:v>
      </x:c>
      <x:c r="J22" t="str">
        <x:v>Elemental Battle Armor; forced May 3052 availability</x:v>
      </x:c>
      <x:c r="K22" t="str">
        <x:v>Deferred</x:v>
      </x:c>
      <x:c r="L22" t="str">
        <x:v>Recorded as its own component; not generated in the current ’Mech-only stage.</x:v>
      </x:c>
    </x:row>
    <x:row r="23">
      <x:c r="A23" t="str">
        <x:v>19th Heavy Cluster “The Great White”|1</x:v>
      </x:c>
      <x:c r="B23" t="str">
        <x:v>19th Heavy Cluster “The Great White”</x:v>
      </x:c>
      <x:c r="C23" t="n">
        <x:v>1</x:v>
      </x:c>
      <x:c r="D23" t="str">
        <x:v>Clan</x:v>
      </x:c>
      <x:c r="E23" t="str">
        <x:v>Assault Supernova</x:v>
      </x:c>
      <x:c r="F23" t="n">
        <x:v>1</x:v>
      </x:c>
      <x:c r="G23" t="str">
        <x:v>Assault</x:v>
      </x:c>
      <x:c r="H23" t="str">
        <x:v>Supernova</x:v>
      </x:c>
      <x:c r="I23" t="str">
        <x:v>Assault Trinary — Clan Formations</x:v>
      </x:c>
      <x:c r="J23" t="str">
        <x:v>Clan Assault ’Mechs → rolled formation type</x:v>
      </x:c>
      <x:c r="K23" t="str">
        <x:v>Ready for formation roll</x:v>
      </x:c>
      <x:c r="L23" t="str">
        <x:v>Use the ’Mech portion only; attached Elementals remain deferred.</x:v>
      </x:c>
    </x:row>
    <x:row r="24">
      <x:c r="A24" t="str">
        <x:v>19th Heavy Cluster “The Great White”|2</x:v>
      </x:c>
      <x:c r="B24" t="str">
        <x:v>19th Heavy Cluster “The Great White”</x:v>
      </x:c>
      <x:c r="C24" t="n">
        <x:v>2</x:v>
      </x:c>
      <x:c r="D24" t="str">
        <x:v>Clan</x:v>
      </x:c>
      <x:c r="E24" t="str">
        <x:v>Heavy ’Mech Trinary</x:v>
      </x:c>
      <x:c r="F24" t="n">
        <x:v>1</x:v>
      </x:c>
      <x:c r="G24" t="str">
        <x:v>Heavy</x:v>
      </x:c>
      <x:c r="H24" t="str">
        <x:v>Trinary</x:v>
      </x:c>
      <x:c r="I24" t="str">
        <x:v>Heavy Trinary — Clan Formations</x:v>
      </x:c>
      <x:c r="J24" t="str">
        <x:v>Clan Heavy ’Mechs → rolled formation type</x:v>
      </x:c>
      <x:c r="K24" t="str">
        <x:v>Ready for formation roll</x:v>
      </x:c>
      <x:c r="L24"/>
    </x:row>
    <x:row r="25">
      <x:c r="A25" t="str">
        <x:v>19th Heavy Cluster “The Great White”|3</x:v>
      </x:c>
      <x:c r="B25" t="str">
        <x:v>19th Heavy Cluster “The Great White”</x:v>
      </x:c>
      <x:c r="C25" t="n">
        <x:v>3</x:v>
      </x:c>
      <x:c r="D25" t="str">
        <x:v>Clan</x:v>
      </x:c>
      <x:c r="E25" t="str">
        <x:v>Heavy ’Mech Trinary</x:v>
      </x:c>
      <x:c r="F25" t="n">
        <x:v>1</x:v>
      </x:c>
      <x:c r="G25" t="str">
        <x:v>Heavy</x:v>
      </x:c>
      <x:c r="H25" t="str">
        <x:v>Trinary</x:v>
      </x:c>
      <x:c r="I25" t="str">
        <x:v>Heavy Trinary — Clan Formations</x:v>
      </x:c>
      <x:c r="J25" t="str">
        <x:v>Clan Heavy ’Mechs → rolled formation type</x:v>
      </x:c>
      <x:c r="K25" t="str">
        <x:v>Ready for formation roll</x:v>
      </x:c>
      <x:c r="L25"/>
    </x:row>
    <x:row r="26">
      <x:c r="A26" t="str">
        <x:v>19th Heavy Cluster “The Great White”|4</x:v>
      </x:c>
      <x:c r="B26" t="str">
        <x:v>19th Heavy Cluster “The Great White”</x:v>
      </x:c>
      <x:c r="C26" t="n">
        <x:v>4</x:v>
      </x:c>
      <x:c r="D26" t="str">
        <x:v>Clan</x:v>
      </x:c>
      <x:c r="E26" t="str">
        <x:v>Heavy ’Mech Trinary</x:v>
      </x:c>
      <x:c r="F26" t="n">
        <x:v>1</x:v>
      </x:c>
      <x:c r="G26" t="str">
        <x:v>Heavy</x:v>
      </x:c>
      <x:c r="H26" t="str">
        <x:v>Trinary</x:v>
      </x:c>
      <x:c r="I26" t="str">
        <x:v>Heavy Trinary — Clan Formations</x:v>
      </x:c>
      <x:c r="J26" t="str">
        <x:v>Clan Heavy ’Mechs → rolled formation type</x:v>
      </x:c>
      <x:c r="K26" t="str">
        <x:v>Ready for formation roll</x:v>
      </x:c>
      <x:c r="L26"/>
    </x:row>
    <x:row r="27">
      <x:c r="A27" t="str">
        <x:v>19th Heavy Cluster “The Great White”|5</x:v>
      </x:c>
      <x:c r="B27" t="str">
        <x:v>19th Heavy Cluster “The Great White”</x:v>
      </x:c>
      <x:c r="C27" t="n">
        <x:v>5</x:v>
      </x:c>
      <x:c r="D27" t="str">
        <x:v>Clan</x:v>
      </x:c>
      <x:c r="E27" t="str">
        <x:v>Aerospace Binary</x:v>
      </x:c>
      <x:c r="F27" t="n">
        <x:v>1</x:v>
      </x:c>
      <x:c r="G27" t="str">
        <x:v>—</x:v>
      </x:c>
      <x:c r="H27" t="str">
        <x:v>Aerospace</x:v>
      </x:c>
      <x:c r="I27" t="str">
        <x:v>Deferred — outside current ’Mech scope</x:v>
      </x:c>
      <x:c r="J27" t="str">
        <x:v>None</x:v>
      </x:c>
      <x:c r="K27" t="str">
        <x:v>Deferred</x:v>
      </x:c>
      <x:c r="L27" t="str">
        <x:v>Recorded as its own component; not generated in the current ’Mech-only stage.</x:v>
      </x:c>
    </x:row>
    <x:row r="28">
      <x:c r="A28" t="str">
        <x:v>39th Strike Cluster “The Frenzy”|1</x:v>
      </x:c>
      <x:c r="B28" t="str">
        <x:v>39th Strike Cluster “The Frenzy”</x:v>
      </x:c>
      <x:c r="C28" t="n">
        <x:v>1</x:v>
      </x:c>
      <x:c r="D28" t="str">
        <x:v>Clan</x:v>
      </x:c>
      <x:c r="E28" t="str">
        <x:v>Medium Supernova</x:v>
      </x:c>
      <x:c r="F28" t="n">
        <x:v>1</x:v>
      </x:c>
      <x:c r="G28" t="str">
        <x:v>Medium</x:v>
      </x:c>
      <x:c r="H28" t="str">
        <x:v>Supernova</x:v>
      </x:c>
      <x:c r="I28" t="str">
        <x:v>Medium Trinary — Clan Formations</x:v>
      </x:c>
      <x:c r="J28" t="str">
        <x:v>Clan Medium ’Mechs → rolled formation type</x:v>
      </x:c>
      <x:c r="K28" t="str">
        <x:v>Ready for formation roll</x:v>
      </x:c>
      <x:c r="L28" t="str">
        <x:v>Use the ’Mech portion only; attached Elementals remain deferred.</x:v>
      </x:c>
    </x:row>
    <x:row r="29">
      <x:c r="A29" t="str">
        <x:v>39th Strike Cluster “The Frenzy”|2</x:v>
      </x:c>
      <x:c r="B29" t="str">
        <x:v>39th Strike Cluster “The Frenzy”</x:v>
      </x:c>
      <x:c r="C29" t="n">
        <x:v>2</x:v>
      </x:c>
      <x:c r="D29" t="str">
        <x:v>Clan</x:v>
      </x:c>
      <x:c r="E29" t="str">
        <x:v>Medium ’Mech Trinary</x:v>
      </x:c>
      <x:c r="F29" t="n">
        <x:v>1</x:v>
      </x:c>
      <x:c r="G29" t="str">
        <x:v>Medium</x:v>
      </x:c>
      <x:c r="H29" t="str">
        <x:v>Trinary</x:v>
      </x:c>
      <x:c r="I29" t="str">
        <x:v>Medium Trinary — Clan Formations</x:v>
      </x:c>
      <x:c r="J29" t="str">
        <x:v>Clan Medium ’Mechs → rolled formation type</x:v>
      </x:c>
      <x:c r="K29" t="str">
        <x:v>Ready for formation roll</x:v>
      </x:c>
      <x:c r="L29"/>
    </x:row>
    <x:row r="30">
      <x:c r="A30" t="str">
        <x:v>39th Strike Cluster “The Frenzy”|3</x:v>
      </x:c>
      <x:c r="B30" t="str">
        <x:v>39th Strike Cluster “The Frenzy”</x:v>
      </x:c>
      <x:c r="C30" t="n">
        <x:v>3</x:v>
      </x:c>
      <x:c r="D30" t="str">
        <x:v>Clan</x:v>
      </x:c>
      <x:c r="E30" t="str">
        <x:v>Medium ’Mech Trinary</x:v>
      </x:c>
      <x:c r="F30" t="n">
        <x:v>1</x:v>
      </x:c>
      <x:c r="G30" t="str">
        <x:v>Medium</x:v>
      </x:c>
      <x:c r="H30" t="str">
        <x:v>Trinary</x:v>
      </x:c>
      <x:c r="I30" t="str">
        <x:v>Medium Trinary — Clan Formations</x:v>
      </x:c>
      <x:c r="J30" t="str">
        <x:v>Clan Medium ’Mechs → rolled formation type</x:v>
      </x:c>
      <x:c r="K30" t="str">
        <x:v>Ready for formation roll</x:v>
      </x:c>
      <x:c r="L30"/>
    </x:row>
    <x:row r="31">
      <x:c r="A31" t="str">
        <x:v>39th Strike Cluster “The Frenzy”|4</x:v>
      </x:c>
      <x:c r="B31" t="str">
        <x:v>39th Strike Cluster “The Frenzy”</x:v>
      </x:c>
      <x:c r="C31" t="n">
        <x:v>4</x:v>
      </x:c>
      <x:c r="D31" t="str">
        <x:v>Clan</x:v>
      </x:c>
      <x:c r="E31" t="str">
        <x:v>Medium ’Mech Trinary</x:v>
      </x:c>
      <x:c r="F31" t="n">
        <x:v>1</x:v>
      </x:c>
      <x:c r="G31" t="str">
        <x:v>Medium</x:v>
      </x:c>
      <x:c r="H31" t="str">
        <x:v>Trinary</x:v>
      </x:c>
      <x:c r="I31" t="str">
        <x:v>Medium Trinary — Clan Formations</x:v>
      </x:c>
      <x:c r="J31" t="str">
        <x:v>Clan Medium ’Mechs → rolled formation type</x:v>
      </x:c>
      <x:c r="K31" t="str">
        <x:v>Ready for formation roll</x:v>
      </x:c>
      <x:c r="L31"/>
    </x:row>
    <x:row r="32">
      <x:c r="A32" t="str">
        <x:v>39th Strike Cluster “The Frenzy”|5</x:v>
      </x:c>
      <x:c r="B32" t="str">
        <x:v>39th Strike Cluster “The Frenzy”</x:v>
      </x:c>
      <x:c r="C32" t="n">
        <x:v>5</x:v>
      </x:c>
      <x:c r="D32" t="str">
        <x:v>Clan</x:v>
      </x:c>
      <x:c r="E32" t="str">
        <x:v>Medium Aerospace Trinary</x:v>
      </x:c>
      <x:c r="F32" t="n">
        <x:v>1</x:v>
      </x:c>
      <x:c r="G32" t="str">
        <x:v>—</x:v>
      </x:c>
      <x:c r="H32" t="str">
        <x:v>Aerospace</x:v>
      </x:c>
      <x:c r="I32" t="str">
        <x:v>Deferred — outside current ’Mech scope</x:v>
      </x:c>
      <x:c r="J32" t="str">
        <x:v>None</x:v>
      </x:c>
      <x:c r="K32" t="str">
        <x:v>Deferred</x:v>
      </x:c>
      <x:c r="L32" t="str">
        <x:v>Recorded as its own component; not generated in the current ’Mech-only stage.</x:v>
      </x:c>
    </x:row>
    <x:row r="33">
      <x:c r="A33" t="str">
        <x:v>39th Strike Cluster “The Frenzy”|6</x:v>
      </x:c>
      <x:c r="B33" t="str">
        <x:v>39th Strike Cluster “The Frenzy”</x:v>
      </x:c>
      <x:c r="C33" t="n">
        <x:v>6</x:v>
      </x:c>
      <x:c r="D33" t="str">
        <x:v>Clan</x:v>
      </x:c>
      <x:c r="E33" t="str">
        <x:v>Battle Armor Trinary</x:v>
      </x:c>
      <x:c r="F33" t="n">
        <x:v>1</x:v>
      </x:c>
      <x:c r="G33" t="str">
        <x:v>—</x:v>
      </x:c>
      <x:c r="H33" t="str">
        <x:v>Battle Armor</x:v>
      </x:c>
      <x:c r="I33" t="str">
        <x:v>Deferred — outside current ’Mech scope</x:v>
      </x:c>
      <x:c r="J33" t="str">
        <x:v>None</x:v>
      </x:c>
      <x:c r="K33" t="str">
        <x:v>Deferred</x:v>
      </x:c>
      <x:c r="L33" t="str">
        <x:v>Recorded as its own component; not generated in the current ’Mech-only stage.</x:v>
      </x:c>
    </x:row>
    <x:row r="34">
      <x:c r="A34" t="str">
        <x:v>222nd Assault Cluster “The Rippers”|1</x:v>
      </x:c>
      <x:c r="B34" t="str">
        <x:v>222nd Assault Cluster “The Rippers”</x:v>
      </x:c>
      <x:c r="C34" t="n">
        <x:v>1</x:v>
      </x:c>
      <x:c r="D34" t="str">
        <x:v>Clan</x:v>
      </x:c>
      <x:c r="E34" t="str">
        <x:v>Assault Supernova</x:v>
      </x:c>
      <x:c r="F34" t="n">
        <x:v>1</x:v>
      </x:c>
      <x:c r="G34" t="str">
        <x:v>Assault</x:v>
      </x:c>
      <x:c r="H34" t="str">
        <x:v>Supernova</x:v>
      </x:c>
      <x:c r="I34" t="str">
        <x:v>Assault Trinary — Clan Formations</x:v>
      </x:c>
      <x:c r="J34" t="str">
        <x:v>Clan Assault ’Mechs → rolled formation type</x:v>
      </x:c>
      <x:c r="K34" t="str">
        <x:v>Ready for formation roll</x:v>
      </x:c>
      <x:c r="L34" t="str">
        <x:v>Use the ’Mech portion only; attached Elementals remain deferred.</x:v>
      </x:c>
    </x:row>
    <x:row r="35">
      <x:c r="A35" t="str">
        <x:v>222nd Assault Cluster “The Rippers”|2</x:v>
      </x:c>
      <x:c r="B35" t="str">
        <x:v>222nd Assault Cluster “The Rippers”</x:v>
      </x:c>
      <x:c r="C35" t="n">
        <x:v>2</x:v>
      </x:c>
      <x:c r="D35" t="str">
        <x:v>Clan</x:v>
      </x:c>
      <x:c r="E35" t="str">
        <x:v>Assault Supernova</x:v>
      </x:c>
      <x:c r="F35" t="n">
        <x:v>1</x:v>
      </x:c>
      <x:c r="G35" t="str">
        <x:v>Assault</x:v>
      </x:c>
      <x:c r="H35" t="str">
        <x:v>Supernova</x:v>
      </x:c>
      <x:c r="I35" t="str">
        <x:v>Assault Trinary — Clan Formations</x:v>
      </x:c>
      <x:c r="J35" t="str">
        <x:v>Clan Assault ’Mechs → rolled formation type</x:v>
      </x:c>
      <x:c r="K35" t="str">
        <x:v>Ready for formation roll</x:v>
      </x:c>
      <x:c r="L35" t="str">
        <x:v>Use the ’Mech portion only; attached Elementals remain deferred.</x:v>
      </x:c>
    </x:row>
    <x:row r="36">
      <x:c r="A36" t="str">
        <x:v>222nd Assault Cluster “The Rippers”|3</x:v>
      </x:c>
      <x:c r="B36" t="str">
        <x:v>222nd Assault Cluster “The Rippers”</x:v>
      </x:c>
      <x:c r="C36" t="n">
        <x:v>3</x:v>
      </x:c>
      <x:c r="D36" t="str">
        <x:v>Clan</x:v>
      </x:c>
      <x:c r="E36" t="str">
        <x:v>Heavy ’Mech Trinary</x:v>
      </x:c>
      <x:c r="F36" t="n">
        <x:v>1</x:v>
      </x:c>
      <x:c r="G36" t="str">
        <x:v>Heavy</x:v>
      </x:c>
      <x:c r="H36" t="str">
        <x:v>Trinary</x:v>
      </x:c>
      <x:c r="I36" t="str">
        <x:v>Heavy Trinary — Clan Formations</x:v>
      </x:c>
      <x:c r="J36" t="str">
        <x:v>Clan Heavy ’Mechs → rolled formation type</x:v>
      </x:c>
      <x:c r="K36" t="str">
        <x:v>Ready for formation roll</x:v>
      </x:c>
      <x:c r="L36"/>
    </x:row>
    <x:row r="37">
      <x:c r="A37" t="str">
        <x:v>222nd Assault Cluster “The Rippers”|4</x:v>
      </x:c>
      <x:c r="B37" t="str">
        <x:v>222nd Assault Cluster “The Rippers”</x:v>
      </x:c>
      <x:c r="C37" t="n">
        <x:v>4</x:v>
      </x:c>
      <x:c r="D37" t="str">
        <x:v>Clan</x:v>
      </x:c>
      <x:c r="E37" t="str">
        <x:v>Heavy ’Mech Trinary</x:v>
      </x:c>
      <x:c r="F37" t="n">
        <x:v>1</x:v>
      </x:c>
      <x:c r="G37" t="str">
        <x:v>Heavy</x:v>
      </x:c>
      <x:c r="H37" t="str">
        <x:v>Trinary</x:v>
      </x:c>
      <x:c r="I37" t="str">
        <x:v>Heavy Trinary — Clan Formations</x:v>
      </x:c>
      <x:c r="J37" t="str">
        <x:v>Clan Heavy ’Mechs → rolled formation type</x:v>
      </x:c>
      <x:c r="K37" t="str">
        <x:v>Ready for formation roll</x:v>
      </x:c>
      <x:c r="L37"/>
    </x:row>
    <x:row r="38">
      <x:c r="A38" t="str">
        <x:v>222nd Assault Cluster “The Rippers”|5</x:v>
      </x:c>
      <x:c r="B38" t="str">
        <x:v>222nd Assault Cluster “The Rippers”</x:v>
      </x:c>
      <x:c r="C38" t="n">
        <x:v>5</x:v>
      </x:c>
      <x:c r="D38" t="str">
        <x:v>Clan</x:v>
      </x:c>
      <x:c r="E38" t="str">
        <x:v>Heavy Aerospace Trinary</x:v>
      </x:c>
      <x:c r="F38" t="n">
        <x:v>1</x:v>
      </x:c>
      <x:c r="G38" t="str">
        <x:v>—</x:v>
      </x:c>
      <x:c r="H38" t="str">
        <x:v>Aerospace</x:v>
      </x:c>
      <x:c r="I38" t="str">
        <x:v>Deferred — outside current ’Mech scope</x:v>
      </x:c>
      <x:c r="J38" t="str">
        <x:v>None</x:v>
      </x:c>
      <x:c r="K38" t="str">
        <x:v>Deferred</x:v>
      </x:c>
      <x:c r="L38" t="str">
        <x:v>Recorded as its own component; not generated in the current ’Mech-only stage.</x:v>
      </x:c>
    </x:row>
    <x:row r="39">
      <x:c r="A39" t="str">
        <x:v>Third Shark Regulars “Restless Shiver”|1</x:v>
      </x:c>
      <x:c r="B39" t="str">
        <x:v>Third Shark Regulars “Restless Shiver”</x:v>
      </x:c>
      <x:c r="C39" t="n">
        <x:v>1</x:v>
      </x:c>
      <x:c r="D39" t="str">
        <x:v>Clan</x:v>
      </x:c>
      <x:c r="E39" t="str">
        <x:v>Medium ’Mech Trinary</x:v>
      </x:c>
      <x:c r="F39" t="n">
        <x:v>1</x:v>
      </x:c>
      <x:c r="G39" t="str">
        <x:v>Medium</x:v>
      </x:c>
      <x:c r="H39" t="str">
        <x:v>Trinary</x:v>
      </x:c>
      <x:c r="I39" t="str">
        <x:v>Medium Trinary — Clan Formations</x:v>
      </x:c>
      <x:c r="J39" t="str">
        <x:v>Clan Medium ’Mechs → rolled formation type</x:v>
      </x:c>
      <x:c r="K39" t="str">
        <x:v>Ready for formation roll</x:v>
      </x:c>
      <x:c r="L39"/>
    </x:row>
    <x:row r="40">
      <x:c r="A40" t="str">
        <x:v>Third Shark Regulars “Restless Shiver”|2</x:v>
      </x:c>
      <x:c r="B40" t="str">
        <x:v>Third Shark Regulars “Restless Shiver”</x:v>
      </x:c>
      <x:c r="C40" t="n">
        <x:v>2</x:v>
      </x:c>
      <x:c r="D40" t="str">
        <x:v>Clan</x:v>
      </x:c>
      <x:c r="E40" t="str">
        <x:v>Medium ’Mech Trinary</x:v>
      </x:c>
      <x:c r="F40" t="n">
        <x:v>1</x:v>
      </x:c>
      <x:c r="G40" t="str">
        <x:v>Medium</x:v>
      </x:c>
      <x:c r="H40" t="str">
        <x:v>Trinary</x:v>
      </x:c>
      <x:c r="I40" t="str">
        <x:v>Medium Trinary — Clan Formations</x:v>
      </x:c>
      <x:c r="J40" t="str">
        <x:v>Clan Medium ’Mechs → rolled formation type</x:v>
      </x:c>
      <x:c r="K40" t="str">
        <x:v>Ready for formation roll</x:v>
      </x:c>
      <x:c r="L40"/>
    </x:row>
    <x:row r="41">
      <x:c r="A41" t="str">
        <x:v>Third Shark Regulars “Restless Shiver”|3</x:v>
      </x:c>
      <x:c r="B41" t="str">
        <x:v>Third Shark Regulars “Restless Shiver”</x:v>
      </x:c>
      <x:c r="C41" t="n">
        <x:v>3</x:v>
      </x:c>
      <x:c r="D41" t="str">
        <x:v>Clan</x:v>
      </x:c>
      <x:c r="E41" t="str">
        <x:v>Medium ’Mech Trinary</x:v>
      </x:c>
      <x:c r="F41" t="n">
        <x:v>1</x:v>
      </x:c>
      <x:c r="G41" t="str">
        <x:v>Medium</x:v>
      </x:c>
      <x:c r="H41" t="str">
        <x:v>Trinary</x:v>
      </x:c>
      <x:c r="I41" t="str">
        <x:v>Medium Trinary — Clan Formations</x:v>
      </x:c>
      <x:c r="J41" t="str">
        <x:v>Clan Medium ’Mechs → rolled formation type</x:v>
      </x:c>
      <x:c r="K41" t="str">
        <x:v>Ready for formation roll</x:v>
      </x:c>
      <x:c r="L41"/>
    </x:row>
    <x:row r="42">
      <x:c r="A42" t="str">
        <x:v>Third Shark Regulars “Restless Shiver”|4</x:v>
      </x:c>
      <x:c r="B42" t="str">
        <x:v>Third Shark Regulars “Restless Shiver”</x:v>
      </x:c>
      <x:c r="C42" t="n">
        <x:v>4</x:v>
      </x:c>
      <x:c r="D42" t="str">
        <x:v>Clan</x:v>
      </x:c>
      <x:c r="E42" t="str">
        <x:v>Medium ’Mech Trinary</x:v>
      </x:c>
      <x:c r="F42" t="n">
        <x:v>1</x:v>
      </x:c>
      <x:c r="G42" t="str">
        <x:v>Medium</x:v>
      </x:c>
      <x:c r="H42" t="str">
        <x:v>Trinary</x:v>
      </x:c>
      <x:c r="I42" t="str">
        <x:v>Medium Trinary — Clan Formations</x:v>
      </x:c>
      <x:c r="J42" t="str">
        <x:v>Clan Medium ’Mechs → rolled formation type</x:v>
      </x:c>
      <x:c r="K42" t="str">
        <x:v>Ready for formation roll</x:v>
      </x:c>
      <x:c r="L42"/>
    </x:row>
    <x:row r="43">
      <x:c r="A43" t="str">
        <x:v>Third Shark Regulars “Restless Shiver”|5</x:v>
      </x:c>
      <x:c r="B43" t="str">
        <x:v>Third Shark Regulars “Restless Shiver”</x:v>
      </x:c>
      <x:c r="C43" t="n">
        <x:v>5</x:v>
      </x:c>
      <x:c r="D43" t="str">
        <x:v>Clan</x:v>
      </x:c>
      <x:c r="E43" t="str">
        <x:v>Medium ’Mech Trinary</x:v>
      </x:c>
      <x:c r="F43" t="n">
        <x:v>1</x:v>
      </x:c>
      <x:c r="G43" t="str">
        <x:v>Medium</x:v>
      </x:c>
      <x:c r="H43" t="str">
        <x:v>Trinary</x:v>
      </x:c>
      <x:c r="I43" t="str">
        <x:v>Medium Trinary — Clan Formations</x:v>
      </x:c>
      <x:c r="J43" t="str">
        <x:v>Clan Medium ’Mechs → rolled formation type</x:v>
      </x:c>
      <x:c r="K43" t="str">
        <x:v>Ready for formation roll</x:v>
      </x:c>
      <x:c r="L43"/>
    </x:row>
    <x:row r="44">
      <x:c r="A44" t="str">
        <x:v>Clan Command Supernova “The Ourse Keshik”|1</x:v>
      </x:c>
      <x:c r="B44" t="str">
        <x:v>Clan Command Supernova “The Ourse Keshik”</x:v>
      </x:c>
      <x:c r="C44" t="n">
        <x:v>1</x:v>
      </x:c>
      <x:c r="D44" t="str">
        <x:v>Clan</x:v>
      </x:c>
      <x:c r="E44" t="str">
        <x:v>Heavy Supernova</x:v>
      </x:c>
      <x:c r="F44" t="n">
        <x:v>1</x:v>
      </x:c>
      <x:c r="G44" t="str">
        <x:v>Heavy</x:v>
      </x:c>
      <x:c r="H44" t="str">
        <x:v>Supernova</x:v>
      </x:c>
      <x:c r="I44" t="str">
        <x:v>Heavy Trinary — Clan Formations</x:v>
      </x:c>
      <x:c r="J44" t="str">
        <x:v>Clan Heavy ’Mechs → rolled formation type</x:v>
      </x:c>
      <x:c r="K44" t="str">
        <x:v>Ready for formation roll</x:v>
      </x:c>
      <x:c r="L44" t="str">
        <x:v>Use the ’Mech portion only; attached Elementals remain deferred.</x:v>
      </x:c>
    </x:row>
    <x:row r="45">
      <x:c r="A45" t="str">
        <x:v>Clan Command Supernova “The Ourse Keshik”|2</x:v>
      </x:c>
      <x:c r="B45" t="str">
        <x:v>Clan Command Supernova “The Ourse Keshik”</x:v>
      </x:c>
      <x:c r="C45" t="n">
        <x:v>2</x:v>
      </x:c>
      <x:c r="D45" t="str">
        <x:v>Clan</x:v>
      </x:c>
      <x:c r="E45" t="str">
        <x:v>Aerospace Binary</x:v>
      </x:c>
      <x:c r="F45" t="n">
        <x:v>1</x:v>
      </x:c>
      <x:c r="G45" t="str">
        <x:v>—</x:v>
      </x:c>
      <x:c r="H45" t="str">
        <x:v>Aerospace</x:v>
      </x:c>
      <x:c r="I45" t="str">
        <x:v>Deferred — outside current ’Mech scope</x:v>
      </x:c>
      <x:c r="J45" t="str">
        <x:v>None</x:v>
      </x:c>
      <x:c r="K45" t="str">
        <x:v>Deferred</x:v>
      </x:c>
      <x:c r="L45" t="str">
        <x:v>Recorded as its own component; not generated in the current ’Mech-only stage.</x:v>
      </x:c>
    </x:row>
    <x:row r="46">
      <x:c r="A46" t="str">
        <x:v>Clan Command Supernova “The Ourse Keshik”|3</x:v>
      </x:c>
      <x:c r="B46" t="str">
        <x:v>Clan Command Supernova “The Ourse Keshik”</x:v>
      </x:c>
      <x:c r="C46" t="n">
        <x:v>3</x:v>
      </x:c>
      <x:c r="D46" t="str">
        <x:v>Clan</x:v>
      </x:c>
      <x:c r="E46" t="str">
        <x:v>Artillery Star</x:v>
      </x:c>
      <x:c r="F46" t="n">
        <x:v>1</x:v>
      </x:c>
      <x:c r="G46" t="str">
        <x:v>—</x:v>
      </x:c>
      <x:c r="H46" t="str">
        <x:v>Artillery</x:v>
      </x:c>
      <x:c r="I46" t="str">
        <x:v>Deferred — outside current ’Mech scope</x:v>
      </x:c>
      <x:c r="J46" t="str">
        <x:v>None</x:v>
      </x:c>
      <x:c r="K46" t="str">
        <x:v>Deferred</x:v>
      </x:c>
      <x:c r="L46" t="str">
        <x:v>Recorded as its own component; not generated in the current ’Mech-only stage.</x:v>
      </x:c>
    </x:row>
    <x:row r="47">
      <x:c r="A47" t="str">
        <x:v>Fiftieth Striker Cluster “The Black Bears”|1</x:v>
      </x:c>
      <x:c r="B47" t="str">
        <x:v>Fiftieth Striker Cluster “The Black Bears”</x:v>
      </x:c>
      <x:c r="C47" t="n">
        <x:v>1</x:v>
      </x:c>
      <x:c r="D47" t="str">
        <x:v>Clan</x:v>
      </x:c>
      <x:c r="E47" t="str">
        <x:v>Light ’Mech Trinary</x:v>
      </x:c>
      <x:c r="F47" t="n">
        <x:v>1</x:v>
      </x:c>
      <x:c r="G47" t="str">
        <x:v>Light</x:v>
      </x:c>
      <x:c r="H47" t="str">
        <x:v>Trinary</x:v>
      </x:c>
      <x:c r="I47" t="str">
        <x:v>Light Trinary — Clan Formations</x:v>
      </x:c>
      <x:c r="J47" t="str">
        <x:v>Clan Light ’Mechs → rolled formation type</x:v>
      </x:c>
      <x:c r="K47" t="str">
        <x:v>Ready for formation roll</x:v>
      </x:c>
      <x:c r="L47"/>
    </x:row>
    <x:row r="48">
      <x:c r="A48" t="str">
        <x:v>Fiftieth Striker Cluster “The Black Bears”|2</x:v>
      </x:c>
      <x:c r="B48" t="str">
        <x:v>Fiftieth Striker Cluster “The Black Bears”</x:v>
      </x:c>
      <x:c r="C48" t="n">
        <x:v>2</x:v>
      </x:c>
      <x:c r="D48" t="str">
        <x:v>Clan</x:v>
      </x:c>
      <x:c r="E48" t="str">
        <x:v>Light ’Mech Trinary</x:v>
      </x:c>
      <x:c r="F48" t="n">
        <x:v>1</x:v>
      </x:c>
      <x:c r="G48" t="str">
        <x:v>Light</x:v>
      </x:c>
      <x:c r="H48" t="str">
        <x:v>Trinary</x:v>
      </x:c>
      <x:c r="I48" t="str">
        <x:v>Light Trinary — Clan Formations</x:v>
      </x:c>
      <x:c r="J48" t="str">
        <x:v>Clan Light ’Mechs → rolled formation type</x:v>
      </x:c>
      <x:c r="K48" t="str">
        <x:v>Ready for formation roll</x:v>
      </x:c>
      <x:c r="L48"/>
    </x:row>
    <x:row r="49">
      <x:c r="A49" t="str">
        <x:v>Fiftieth Striker Cluster “The Black Bears”|3</x:v>
      </x:c>
      <x:c r="B49" t="str">
        <x:v>Fiftieth Striker Cluster “The Black Bears”</x:v>
      </x:c>
      <x:c r="C49" t="n">
        <x:v>3</x:v>
      </x:c>
      <x:c r="D49" t="str">
        <x:v>Clan</x:v>
      </x:c>
      <x:c r="E49" t="str">
        <x:v>Light ’Mech Trinary</x:v>
      </x:c>
      <x:c r="F49" t="n">
        <x:v>1</x:v>
      </x:c>
      <x:c r="G49" t="str">
        <x:v>Light</x:v>
      </x:c>
      <x:c r="H49" t="str">
        <x:v>Trinary</x:v>
      </x:c>
      <x:c r="I49" t="str">
        <x:v>Light Trinary — Clan Formations</x:v>
      </x:c>
      <x:c r="J49" t="str">
        <x:v>Clan Light ’Mechs → rolled formation type</x:v>
      </x:c>
      <x:c r="K49" t="str">
        <x:v>Ready for formation roll</x:v>
      </x:c>
      <x:c r="L49"/>
    </x:row>
    <x:row r="50">
      <x:c r="A50" t="str">
        <x:v>Fiftieth Striker Cluster “The Black Bears”|4</x:v>
      </x:c>
      <x:c r="B50" t="str">
        <x:v>Fiftieth Striker Cluster “The Black Bears”</x:v>
      </x:c>
      <x:c r="C50" t="n">
        <x:v>4</x:v>
      </x:c>
      <x:c r="D50" t="str">
        <x:v>Clan</x:v>
      </x:c>
      <x:c r="E50" t="str">
        <x:v>Light Supernova</x:v>
      </x:c>
      <x:c r="F50" t="n">
        <x:v>1</x:v>
      </x:c>
      <x:c r="G50" t="str">
        <x:v>Light</x:v>
      </x:c>
      <x:c r="H50" t="str">
        <x:v>Supernova</x:v>
      </x:c>
      <x:c r="I50" t="str">
        <x:v>Light Trinary — Clan Formations</x:v>
      </x:c>
      <x:c r="J50" t="str">
        <x:v>Clan Light ’Mechs → rolled formation type</x:v>
      </x:c>
      <x:c r="K50" t="str">
        <x:v>Ready for formation roll</x:v>
      </x:c>
      <x:c r="L50" t="str">
        <x:v>Use the ’Mech portion only; attached Elementals remain deferred.</x:v>
      </x:c>
    </x:row>
    <x:row r="51">
      <x:c r="A51" t="str">
        <x:v>Fiftieth Striker Cluster “The Black Bears”|5</x:v>
      </x:c>
      <x:c r="B51" t="str">
        <x:v>Fiftieth Striker Cluster “The Black Bears”</x:v>
      </x:c>
      <x:c r="C51" t="n">
        <x:v>5</x:v>
      </x:c>
      <x:c r="D51" t="str">
        <x:v>Clan</x:v>
      </x:c>
      <x:c r="E51" t="str">
        <x:v>Aerospace Trinary</x:v>
      </x:c>
      <x:c r="F51" t="n">
        <x:v>1</x:v>
      </x:c>
      <x:c r="G51" t="str">
        <x:v>—</x:v>
      </x:c>
      <x:c r="H51" t="str">
        <x:v>Aerospace</x:v>
      </x:c>
      <x:c r="I51" t="str">
        <x:v>Deferred — outside current ’Mech scope</x:v>
      </x:c>
      <x:c r="J51" t="str">
        <x:v>None</x:v>
      </x:c>
      <x:c r="K51" t="str">
        <x:v>Deferred</x:v>
      </x:c>
      <x:c r="L51" t="str">
        <x:v>Recorded as its own component; not generated in the current ’Mech-only stage.</x:v>
      </x:c>
    </x:row>
    <x:row r="52">
      <x:c r="A52" t="str">
        <x:v>Seventh Bear Guards “Claws of Glory”|1</x:v>
      </x:c>
      <x:c r="B52" t="str">
        <x:v>Seventh Bear Guards “Claws of Glory”</x:v>
      </x:c>
      <x:c r="C52" t="n">
        <x:v>1</x:v>
      </x:c>
      <x:c r="D52" t="str">
        <x:v>Clan</x:v>
      </x:c>
      <x:c r="E52" t="str">
        <x:v>Heavy Supernova</x:v>
      </x:c>
      <x:c r="F52" t="n">
        <x:v>1</x:v>
      </x:c>
      <x:c r="G52" t="str">
        <x:v>Heavy</x:v>
      </x:c>
      <x:c r="H52" t="str">
        <x:v>Supernova</x:v>
      </x:c>
      <x:c r="I52" t="str">
        <x:v>Heavy Trinary — Clan Formations</x:v>
      </x:c>
      <x:c r="J52" t="str">
        <x:v>Clan Heavy ’Mechs → rolled formation type</x:v>
      </x:c>
      <x:c r="K52" t="str">
        <x:v>Ready for formation roll</x:v>
      </x:c>
      <x:c r="L52" t="str">
        <x:v>Use the ’Mech portion only; attached Elementals remain deferred.</x:v>
      </x:c>
    </x:row>
    <x:row r="53">
      <x:c r="A53" t="str">
        <x:v>Seventh Bear Guards “Claws of Glory”|2</x:v>
      </x:c>
      <x:c r="B53" t="str">
        <x:v>Seventh Bear Guards “Claws of Glory”</x:v>
      </x:c>
      <x:c r="C53" t="n">
        <x:v>2</x:v>
      </x:c>
      <x:c r="D53" t="str">
        <x:v>Clan</x:v>
      </x:c>
      <x:c r="E53" t="str">
        <x:v>Heavy ’Mech Trinary</x:v>
      </x:c>
      <x:c r="F53" t="n">
        <x:v>1</x:v>
      </x:c>
      <x:c r="G53" t="str">
        <x:v>Heavy</x:v>
      </x:c>
      <x:c r="H53" t="str">
        <x:v>Trinary</x:v>
      </x:c>
      <x:c r="I53" t="str">
        <x:v>Heavy Trinary — Clan Formations</x:v>
      </x:c>
      <x:c r="J53" t="str">
        <x:v>Clan Heavy ’Mechs → rolled formation type</x:v>
      </x:c>
      <x:c r="K53" t="str">
        <x:v>Ready for formation roll</x:v>
      </x:c>
      <x:c r="L53"/>
    </x:row>
    <x:row r="54">
      <x:c r="A54" t="str">
        <x:v>Seventh Bear Guards “Claws of Glory”|3</x:v>
      </x:c>
      <x:c r="B54" t="str">
        <x:v>Seventh Bear Guards “Claws of Glory”</x:v>
      </x:c>
      <x:c r="C54" t="n">
        <x:v>3</x:v>
      </x:c>
      <x:c r="D54" t="str">
        <x:v>Clan</x:v>
      </x:c>
      <x:c r="E54" t="str">
        <x:v>Heavy ’Mech Trinary</x:v>
      </x:c>
      <x:c r="F54" t="n">
        <x:v>1</x:v>
      </x:c>
      <x:c r="G54" t="str">
        <x:v>Heavy</x:v>
      </x:c>
      <x:c r="H54" t="str">
        <x:v>Trinary</x:v>
      </x:c>
      <x:c r="I54" t="str">
        <x:v>Heavy Trinary — Clan Formations</x:v>
      </x:c>
      <x:c r="J54" t="str">
        <x:v>Clan Heavy ’Mechs → rolled formation type</x:v>
      </x:c>
      <x:c r="K54" t="str">
        <x:v>Ready for formation roll</x:v>
      </x:c>
      <x:c r="L54"/>
    </x:row>
    <x:row r="55">
      <x:c r="A55" t="str">
        <x:v>Seventh Bear Guards “Claws of Glory”|4</x:v>
      </x:c>
      <x:c r="B55" t="str">
        <x:v>Seventh Bear Guards “Claws of Glory”</x:v>
      </x:c>
      <x:c r="C55" t="n">
        <x:v>4</x:v>
      </x:c>
      <x:c r="D55" t="str">
        <x:v>Clan</x:v>
      </x:c>
      <x:c r="E55" t="str">
        <x:v>Heavy ’Mech Trinary</x:v>
      </x:c>
      <x:c r="F55" t="n">
        <x:v>1</x:v>
      </x:c>
      <x:c r="G55" t="str">
        <x:v>Heavy</x:v>
      </x:c>
      <x:c r="H55" t="str">
        <x:v>Trinary</x:v>
      </x:c>
      <x:c r="I55" t="str">
        <x:v>Heavy Trinary — Clan Formations</x:v>
      </x:c>
      <x:c r="J55" t="str">
        <x:v>Clan Heavy ’Mechs → rolled formation type</x:v>
      </x:c>
      <x:c r="K55" t="str">
        <x:v>Ready for formation roll</x:v>
      </x:c>
      <x:c r="L55"/>
    </x:row>
    <x:row r="56">
      <x:c r="A56" t="str">
        <x:v>Seventh Bear Guards “Claws of Glory”|5</x:v>
      </x:c>
      <x:c r="B56" t="str">
        <x:v>Seventh Bear Guards “Claws of Glory”</x:v>
      </x:c>
      <x:c r="C56" t="n">
        <x:v>5</x:v>
      </x:c>
      <x:c r="D56" t="str">
        <x:v>Clan</x:v>
      </x:c>
      <x:c r="E56" t="str">
        <x:v>Aerospace Binary</x:v>
      </x:c>
      <x:c r="F56" t="n">
        <x:v>1</x:v>
      </x:c>
      <x:c r="G56" t="str">
        <x:v>—</x:v>
      </x:c>
      <x:c r="H56" t="str">
        <x:v>Aerospace</x:v>
      </x:c>
      <x:c r="I56" t="str">
        <x:v>Deferred — outside current ’Mech scope</x:v>
      </x:c>
      <x:c r="J56" t="str">
        <x:v>None</x:v>
      </x:c>
      <x:c r="K56" t="str">
        <x:v>Deferred</x:v>
      </x:c>
      <x:c r="L56" t="str">
        <x:v>Recorded as its own component; not generated in the current ’Mech-only stage.</x:v>
      </x:c>
    </x:row>
    <x:row r="57">
      <x:c r="A57" t="str">
        <x:v>Twentieth Polar Bears “The Chilled Death”|1</x:v>
      </x:c>
      <x:c r="B57" t="str">
        <x:v>Twentieth Polar Bears “The Chilled Death”</x:v>
      </x:c>
      <x:c r="C57" t="n">
        <x:v>1</x:v>
      </x:c>
      <x:c r="D57" t="str">
        <x:v>Clan</x:v>
      </x:c>
      <x:c r="E57" t="str">
        <x:v>Medium Supernova</x:v>
      </x:c>
      <x:c r="F57" t="n">
        <x:v>1</x:v>
      </x:c>
      <x:c r="G57" t="str">
        <x:v>Medium</x:v>
      </x:c>
      <x:c r="H57" t="str">
        <x:v>Supernova</x:v>
      </x:c>
      <x:c r="I57" t="str">
        <x:v>Medium Trinary — Clan Formations</x:v>
      </x:c>
      <x:c r="J57" t="str">
        <x:v>Clan Medium ’Mechs → rolled formation type</x:v>
      </x:c>
      <x:c r="K57" t="str">
        <x:v>Ready for formation roll</x:v>
      </x:c>
      <x:c r="L57" t="str">
        <x:v>Use the ’Mech portion only; attached Elementals remain deferred.</x:v>
      </x:c>
    </x:row>
    <x:row r="58">
      <x:c r="A58" t="str">
        <x:v>Twentieth Polar Bears “The Chilled Death”|2</x:v>
      </x:c>
      <x:c r="B58" t="str">
        <x:v>Twentieth Polar Bears “The Chilled Death”</x:v>
      </x:c>
      <x:c r="C58" t="n">
        <x:v>2</x:v>
      </x:c>
      <x:c r="D58" t="str">
        <x:v>Clan</x:v>
      </x:c>
      <x:c r="E58" t="str">
        <x:v>Medium Supernova</x:v>
      </x:c>
      <x:c r="F58" t="n">
        <x:v>1</x:v>
      </x:c>
      <x:c r="G58" t="str">
        <x:v>Medium</x:v>
      </x:c>
      <x:c r="H58" t="str">
        <x:v>Supernova</x:v>
      </x:c>
      <x:c r="I58" t="str">
        <x:v>Medium Trinary — Clan Formations</x:v>
      </x:c>
      <x:c r="J58" t="str">
        <x:v>Clan Medium ’Mechs → rolled formation type</x:v>
      </x:c>
      <x:c r="K58" t="str">
        <x:v>Ready for formation roll</x:v>
      </x:c>
      <x:c r="L58" t="str">
        <x:v>Use the ’Mech portion only; attached Elementals remain deferred.</x:v>
      </x:c>
    </x:row>
    <x:row r="59">
      <x:c r="A59" t="str">
        <x:v>Twentieth Polar Bears “The Chilled Death”|3</x:v>
      </x:c>
      <x:c r="B59" t="str">
        <x:v>Twentieth Polar Bears “The Chilled Death”</x:v>
      </x:c>
      <x:c r="C59" t="n">
        <x:v>3</x:v>
      </x:c>
      <x:c r="D59" t="str">
        <x:v>Clan</x:v>
      </x:c>
      <x:c r="E59" t="str">
        <x:v>Light ’Mech Trinary</x:v>
      </x:c>
      <x:c r="F59" t="n">
        <x:v>1</x:v>
      </x:c>
      <x:c r="G59" t="str">
        <x:v>Light</x:v>
      </x:c>
      <x:c r="H59" t="str">
        <x:v>Trinary</x:v>
      </x:c>
      <x:c r="I59" t="str">
        <x:v>Light Trinary — Clan Formations</x:v>
      </x:c>
      <x:c r="J59" t="str">
        <x:v>Clan Light ’Mechs → rolled formation type</x:v>
      </x:c>
      <x:c r="K59" t="str">
        <x:v>Ready for formation roll</x:v>
      </x:c>
      <x:c r="L59"/>
    </x:row>
    <x:row r="60">
      <x:c r="A60" t="str">
        <x:v>Twentieth Polar Bears “The Chilled Death”|4</x:v>
      </x:c>
      <x:c r="B60" t="str">
        <x:v>Twentieth Polar Bears “The Chilled Death”</x:v>
      </x:c>
      <x:c r="C60" t="n">
        <x:v>4</x:v>
      </x:c>
      <x:c r="D60" t="str">
        <x:v>Clan</x:v>
      </x:c>
      <x:c r="E60" t="str">
        <x:v>Medium Mixed Trinary</x:v>
      </x:c>
      <x:c r="F60" t="n">
        <x:v>1</x:v>
      </x:c>
      <x:c r="G60" t="str">
        <x:v>Medium</x:v>
      </x:c>
      <x:c r="H60" t="str">
        <x:v>Trinary</x:v>
      </x:c>
      <x:c r="I60" t="str">
        <x:v>Medium Trinary — Clan Formations</x:v>
      </x:c>
      <x:c r="J60" t="str">
        <x:v>Clan Medium ’Mechs → rolled formation type</x:v>
      </x:c>
      <x:c r="K60" t="str">
        <x:v>Ready for formation roll</x:v>
      </x:c>
      <x:c r="L60"/>
    </x:row>
    <x:row r="61">
      <x:c r="A61" t="str">
        <x:v>Twentieth Polar Bears “The Chilled Death”|5</x:v>
      </x:c>
      <x:c r="B61" t="str">
        <x:v>Twentieth Polar Bears “The Chilled Death”</x:v>
      </x:c>
      <x:c r="C61" t="n">
        <x:v>5</x:v>
      </x:c>
      <x:c r="D61" t="str">
        <x:v>Clan</x:v>
      </x:c>
      <x:c r="E61" t="str">
        <x:v>Aerospace Trinary</x:v>
      </x:c>
      <x:c r="F61" t="n">
        <x:v>1</x:v>
      </x:c>
      <x:c r="G61" t="str">
        <x:v>—</x:v>
      </x:c>
      <x:c r="H61" t="str">
        <x:v>Aerospace</x:v>
      </x:c>
      <x:c r="I61" t="str">
        <x:v>Deferred — outside current ’Mech scope</x:v>
      </x:c>
      <x:c r="J61" t="str">
        <x:v>None</x:v>
      </x:c>
      <x:c r="K61" t="str">
        <x:v>Deferred</x:v>
      </x:c>
      <x:c r="L61" t="str">
        <x:v>Recorded as its own component; not generated in the current ’Mech-only stage.</x:v>
      </x:c>
    </x:row>
    <x:row r="62">
      <x:c r="A62" t="str">
        <x:v>First Viper Guards “The Viper’s Fury”|1</x:v>
      </x:c>
      <x:c r="B62" t="str">
        <x:v>First Viper Guards “The Viper’s Fury”</x:v>
      </x:c>
      <x:c r="C62" t="n">
        <x:v>1</x:v>
      </x:c>
      <x:c r="D62" t="str">
        <x:v>Clan</x:v>
      </x:c>
      <x:c r="E62" t="str">
        <x:v>Medium ’Mech Trinary</x:v>
      </x:c>
      <x:c r="F62" t="n">
        <x:v>1</x:v>
      </x:c>
      <x:c r="G62" t="str">
        <x:v>Medium</x:v>
      </x:c>
      <x:c r="H62" t="str">
        <x:v>Trinary</x:v>
      </x:c>
      <x:c r="I62" t="str">
        <x:v>Medium Trinary — Clan Formations</x:v>
      </x:c>
      <x:c r="J62" t="str">
        <x:v>Clan Medium ’Mechs → rolled formation type</x:v>
      </x:c>
      <x:c r="K62" t="str">
        <x:v>Ready for formation roll</x:v>
      </x:c>
      <x:c r="L62"/>
    </x:row>
    <x:row r="63">
      <x:c r="A63" t="str">
        <x:v>First Viper Guards “The Viper’s Fury”|2</x:v>
      </x:c>
      <x:c r="B63" t="str">
        <x:v>First Viper Guards “The Viper’s Fury”</x:v>
      </x:c>
      <x:c r="C63" t="n">
        <x:v>2</x:v>
      </x:c>
      <x:c r="D63" t="str">
        <x:v>Clan</x:v>
      </x:c>
      <x:c r="E63" t="str">
        <x:v>Heavy ’Mech Trinary</x:v>
      </x:c>
      <x:c r="F63" t="n">
        <x:v>1</x:v>
      </x:c>
      <x:c r="G63" t="str">
        <x:v>Heavy</x:v>
      </x:c>
      <x:c r="H63" t="str">
        <x:v>Trinary</x:v>
      </x:c>
      <x:c r="I63" t="str">
        <x:v>Heavy Trinary — Clan Formations</x:v>
      </x:c>
      <x:c r="J63" t="str">
        <x:v>Clan Heavy ’Mechs → rolled formation type</x:v>
      </x:c>
      <x:c r="K63" t="str">
        <x:v>Ready for formation roll</x:v>
      </x:c>
      <x:c r="L63"/>
    </x:row>
    <x:row r="64">
      <x:c r="A64" t="str">
        <x:v>First Viper Guards “The Viper’s Fury”|3</x:v>
      </x:c>
      <x:c r="B64" t="str">
        <x:v>First Viper Guards “The Viper’s Fury”</x:v>
      </x:c>
      <x:c r="C64" t="n">
        <x:v>3</x:v>
      </x:c>
      <x:c r="D64" t="str">
        <x:v>Clan</x:v>
      </x:c>
      <x:c r="E64" t="str">
        <x:v>Heavy ’Mech Trinary</x:v>
      </x:c>
      <x:c r="F64" t="n">
        <x:v>1</x:v>
      </x:c>
      <x:c r="G64" t="str">
        <x:v>Heavy</x:v>
      </x:c>
      <x:c r="H64" t="str">
        <x:v>Trinary</x:v>
      </x:c>
      <x:c r="I64" t="str">
        <x:v>Heavy Trinary — Clan Formations</x:v>
      </x:c>
      <x:c r="J64" t="str">
        <x:v>Clan Heavy ’Mechs → rolled formation type</x:v>
      </x:c>
      <x:c r="K64" t="str">
        <x:v>Ready for formation roll</x:v>
      </x:c>
      <x:c r="L64"/>
    </x:row>
    <x:row r="65">
      <x:c r="A65" t="str">
        <x:v>First Viper Guards “The Viper’s Fury”|4</x:v>
      </x:c>
      <x:c r="B65" t="str">
        <x:v>First Viper Guards “The Viper’s Fury”</x:v>
      </x:c>
      <x:c r="C65" t="n">
        <x:v>4</x:v>
      </x:c>
      <x:c r="D65" t="str">
        <x:v>Clan</x:v>
      </x:c>
      <x:c r="E65" t="str">
        <x:v>Battle Armor Trinary</x:v>
      </x:c>
      <x:c r="F65" t="n">
        <x:v>1</x:v>
      </x:c>
      <x:c r="G65" t="str">
        <x:v>—</x:v>
      </x:c>
      <x:c r="H65" t="str">
        <x:v>Battle Armor</x:v>
      </x:c>
      <x:c r="I65" t="str">
        <x:v>Deferred — outside current ’Mech scope</x:v>
      </x:c>
      <x:c r="J65" t="str">
        <x:v>None</x:v>
      </x:c>
      <x:c r="K65" t="str">
        <x:v>Deferred</x:v>
      </x:c>
      <x:c r="L65" t="str">
        <x:v>Recorded as its own component; not generated in the current ’Mech-only stage.</x:v>
      </x:c>
    </x:row>
    <x:row r="66">
      <x:c r="A66" t="str">
        <x:v>First Viper Guards “The Viper’s Fury”|5</x:v>
      </x:c>
      <x:c r="B66" t="str">
        <x:v>First Viper Guards “The Viper’s Fury”</x:v>
      </x:c>
      <x:c r="C66" t="n">
        <x:v>5</x:v>
      </x:c>
      <x:c r="D66" t="str">
        <x:v>Clan</x:v>
      </x:c>
      <x:c r="E66" t="str">
        <x:v>Battle Armor Trinary</x:v>
      </x:c>
      <x:c r="F66" t="n">
        <x:v>1</x:v>
      </x:c>
      <x:c r="G66" t="str">
        <x:v>—</x:v>
      </x:c>
      <x:c r="H66" t="str">
        <x:v>Battle Armor</x:v>
      </x:c>
      <x:c r="I66" t="str">
        <x:v>Deferred — outside current ’Mech scope</x:v>
      </x:c>
      <x:c r="J66" t="str">
        <x:v>None</x:v>
      </x:c>
      <x:c r="K66" t="str">
        <x:v>Deferred</x:v>
      </x:c>
      <x:c r="L66" t="str">
        <x:v>Recorded as its own component; not generated in the current ’Mech-only stage.</x:v>
      </x:c>
    </x:row>
    <x:row r="67">
      <x:c r="A67" t="str">
        <x:v>250th Assault Cluster “The Viper Guards”|1</x:v>
      </x:c>
      <x:c r="B67" t="str">
        <x:v>250th Assault Cluster “The Viper Guards”</x:v>
      </x:c>
      <x:c r="C67" t="n">
        <x:v>1</x:v>
      </x:c>
      <x:c r="D67" t="str">
        <x:v>Clan</x:v>
      </x:c>
      <x:c r="E67" t="str">
        <x:v>Heavy ’Mech Trinary</x:v>
      </x:c>
      <x:c r="F67" t="n">
        <x:v>1</x:v>
      </x:c>
      <x:c r="G67" t="str">
        <x:v>Heavy</x:v>
      </x:c>
      <x:c r="H67" t="str">
        <x:v>Trinary</x:v>
      </x:c>
      <x:c r="I67" t="str">
        <x:v>Heavy Trinary — Clan Formations</x:v>
      </x:c>
      <x:c r="J67" t="str">
        <x:v>Clan Heavy ’Mechs → rolled formation type</x:v>
      </x:c>
      <x:c r="K67" t="str">
        <x:v>Ready for formation roll</x:v>
      </x:c>
      <x:c r="L67"/>
    </x:row>
    <x:row r="68">
      <x:c r="A68" t="str">
        <x:v>250th Assault Cluster “The Viper Guards”|2</x:v>
      </x:c>
      <x:c r="B68" t="str">
        <x:v>250th Assault Cluster “The Viper Guards”</x:v>
      </x:c>
      <x:c r="C68" t="n">
        <x:v>2</x:v>
      </x:c>
      <x:c r="D68" t="str">
        <x:v>Clan</x:v>
      </x:c>
      <x:c r="E68" t="str">
        <x:v>Heavy ’Mech Trinary</x:v>
      </x:c>
      <x:c r="F68" t="n">
        <x:v>1</x:v>
      </x:c>
      <x:c r="G68" t="str">
        <x:v>Heavy</x:v>
      </x:c>
      <x:c r="H68" t="str">
        <x:v>Trinary</x:v>
      </x:c>
      <x:c r="I68" t="str">
        <x:v>Heavy Trinary — Clan Formations</x:v>
      </x:c>
      <x:c r="J68" t="str">
        <x:v>Clan Heavy ’Mechs → rolled formation type</x:v>
      </x:c>
      <x:c r="K68" t="str">
        <x:v>Ready for formation roll</x:v>
      </x:c>
      <x:c r="L68"/>
    </x:row>
    <x:row r="69">
      <x:c r="A69" t="str">
        <x:v>250th Assault Cluster “The Viper Guards”|3</x:v>
      </x:c>
      <x:c r="B69" t="str">
        <x:v>250th Assault Cluster “The Viper Guards”</x:v>
      </x:c>
      <x:c r="C69" t="n">
        <x:v>3</x:v>
      </x:c>
      <x:c r="D69" t="str">
        <x:v>Clan</x:v>
      </x:c>
      <x:c r="E69" t="str">
        <x:v>Assault ’Mech Trinary</x:v>
      </x:c>
      <x:c r="F69" t="n">
        <x:v>1</x:v>
      </x:c>
      <x:c r="G69" t="str">
        <x:v>Assault</x:v>
      </x:c>
      <x:c r="H69" t="str">
        <x:v>Trinary</x:v>
      </x:c>
      <x:c r="I69" t="str">
        <x:v>Assault Trinary — Clan Formations</x:v>
      </x:c>
      <x:c r="J69" t="str">
        <x:v>Clan Assault ’Mechs → rolled formation type</x:v>
      </x:c>
      <x:c r="K69" t="str">
        <x:v>Ready for formation roll</x:v>
      </x:c>
      <x:c r="L69"/>
    </x:row>
    <x:row r="70">
      <x:c r="A70" t="str">
        <x:v>250th Assault Cluster “The Viper Guards”|4</x:v>
      </x:c>
      <x:c r="B70" t="str">
        <x:v>250th Assault Cluster “The Viper Guards”</x:v>
      </x:c>
      <x:c r="C70" t="n">
        <x:v>4</x:v>
      </x:c>
      <x:c r="D70" t="str">
        <x:v>Clan</x:v>
      </x:c>
      <x:c r="E70" t="str">
        <x:v>Battle Armor Trinary</x:v>
      </x:c>
      <x:c r="F70" t="n">
        <x:v>1</x:v>
      </x:c>
      <x:c r="G70" t="str">
        <x:v>—</x:v>
      </x:c>
      <x:c r="H70" t="str">
        <x:v>Battle Armor</x:v>
      </x:c>
      <x:c r="I70" t="str">
        <x:v>Deferred — outside current ’Mech scope</x:v>
      </x:c>
      <x:c r="J70" t="str">
        <x:v>None</x:v>
      </x:c>
      <x:c r="K70" t="str">
        <x:v>Deferred</x:v>
      </x:c>
      <x:c r="L70" t="str">
        <x:v>Recorded as its own component; not generated in the current ’Mech-only stage.</x:v>
      </x:c>
    </x:row>
    <x:row r="71">
      <x:c r="A71" t="str">
        <x:v>250th Assault Cluster “The Viper Guards”|5</x:v>
      </x:c>
      <x:c r="B71" t="str">
        <x:v>250th Assault Cluster “The Viper Guards”</x:v>
      </x:c>
      <x:c r="C71" t="n">
        <x:v>5</x:v>
      </x:c>
      <x:c r="D71" t="str">
        <x:v>Clan</x:v>
      </x:c>
      <x:c r="E71" t="str">
        <x:v>Aerospace Trinary</x:v>
      </x:c>
      <x:c r="F71" t="n">
        <x:v>1</x:v>
      </x:c>
      <x:c r="G71" t="str">
        <x:v>—</x:v>
      </x:c>
      <x:c r="H71" t="str">
        <x:v>Aerospace</x:v>
      </x:c>
      <x:c r="I71" t="str">
        <x:v>Deferred — outside current ’Mech scope</x:v>
      </x:c>
      <x:c r="J71" t="str">
        <x:v>None</x:v>
      </x:c>
      <x:c r="K71" t="str">
        <x:v>Deferred</x:v>
      </x:c>
      <x:c r="L71" t="str">
        <x:v>Recorded as its own component; not generated in the current ’Mech-only stage.</x:v>
      </x:c>
    </x:row>
    <x:row r="72">
      <x:c r="A72" t="str">
        <x:v>Fifty-Seventh Striker Cluster “The Fangs of Death”|1</x:v>
      </x:c>
      <x:c r="B72" t="str">
        <x:v>Fifty-Seventh Striker Cluster “The Fangs of Death”</x:v>
      </x:c>
      <x:c r="C72" t="n">
        <x:v>1</x:v>
      </x:c>
      <x:c r="D72" t="str">
        <x:v>Clan</x:v>
      </x:c>
      <x:c r="E72" t="str">
        <x:v>Medium ’Mech Trinary</x:v>
      </x:c>
      <x:c r="F72" t="n">
        <x:v>1</x:v>
      </x:c>
      <x:c r="G72" t="str">
        <x:v>Medium</x:v>
      </x:c>
      <x:c r="H72" t="str">
        <x:v>Trinary</x:v>
      </x:c>
      <x:c r="I72" t="str">
        <x:v>Medium Trinary — Clan Formations</x:v>
      </x:c>
      <x:c r="J72" t="str">
        <x:v>Clan Medium ’Mechs → rolled formation type</x:v>
      </x:c>
      <x:c r="K72" t="str">
        <x:v>Ready for formation roll</x:v>
      </x:c>
      <x:c r="L72"/>
    </x:row>
    <x:row r="73">
      <x:c r="A73" t="str">
        <x:v>Fifty-Seventh Striker Cluster “The Fangs of Death”|2</x:v>
      </x:c>
      <x:c r="B73" t="str">
        <x:v>Fifty-Seventh Striker Cluster “The Fangs of Death”</x:v>
      </x:c>
      <x:c r="C73" t="n">
        <x:v>2</x:v>
      </x:c>
      <x:c r="D73" t="str">
        <x:v>Clan</x:v>
      </x:c>
      <x:c r="E73" t="str">
        <x:v>Medium ’Mech Trinary</x:v>
      </x:c>
      <x:c r="F73" t="n">
        <x:v>1</x:v>
      </x:c>
      <x:c r="G73" t="str">
        <x:v>Medium</x:v>
      </x:c>
      <x:c r="H73" t="str">
        <x:v>Trinary</x:v>
      </x:c>
      <x:c r="I73" t="str">
        <x:v>Medium Trinary — Clan Formations</x:v>
      </x:c>
      <x:c r="J73" t="str">
        <x:v>Clan Medium ’Mechs → rolled formation type</x:v>
      </x:c>
      <x:c r="K73" t="str">
        <x:v>Ready for formation roll</x:v>
      </x:c>
      <x:c r="L73"/>
    </x:row>
    <x:row r="74">
      <x:c r="A74" t="str">
        <x:v>Fifty-Seventh Striker Cluster “The Fangs of Death”|3</x:v>
      </x:c>
      <x:c r="B74" t="str">
        <x:v>Fifty-Seventh Striker Cluster “The Fangs of Death”</x:v>
      </x:c>
      <x:c r="C74" t="n">
        <x:v>3</x:v>
      </x:c>
      <x:c r="D74" t="str">
        <x:v>Clan</x:v>
      </x:c>
      <x:c r="E74" t="str">
        <x:v>Heavy ’Mech Trinary</x:v>
      </x:c>
      <x:c r="F74" t="n">
        <x:v>1</x:v>
      </x:c>
      <x:c r="G74" t="str">
        <x:v>Heavy</x:v>
      </x:c>
      <x:c r="H74" t="str">
        <x:v>Trinary</x:v>
      </x:c>
      <x:c r="I74" t="str">
        <x:v>Heavy Trinary — Clan Formations</x:v>
      </x:c>
      <x:c r="J74" t="str">
        <x:v>Clan Heavy ’Mechs → rolled formation type</x:v>
      </x:c>
      <x:c r="K74" t="str">
        <x:v>Ready for formation roll</x:v>
      </x:c>
      <x:c r="L74"/>
    </x:row>
    <x:row r="75">
      <x:c r="A75" t="str">
        <x:v>Fifty-Seventh Striker Cluster “The Fangs of Death”|4</x:v>
      </x:c>
      <x:c r="B75" t="str">
        <x:v>Fifty-Seventh Striker Cluster “The Fangs of Death”</x:v>
      </x:c>
      <x:c r="C75" t="n">
        <x:v>4</x:v>
      </x:c>
      <x:c r="D75" t="str">
        <x:v>Clan</x:v>
      </x:c>
      <x:c r="E75" t="str">
        <x:v>Elemental Trinary</x:v>
      </x:c>
      <x:c r="F75" t="n">
        <x:v>1</x:v>
      </x:c>
      <x:c r="G75" t="str">
        <x:v>—</x:v>
      </x:c>
      <x:c r="H75" t="str">
        <x:v>Battle Armor</x:v>
      </x:c>
      <x:c r="I75" t="str">
        <x:v>Non-BattleMechs — Elemental entries (future scope)</x:v>
      </x:c>
      <x:c r="J75" t="str">
        <x:v>Elemental Battle Armor; forced May 3052 availability</x:v>
      </x:c>
      <x:c r="K75" t="str">
        <x:v>Deferred</x:v>
      </x:c>
      <x:c r="L75" t="str">
        <x:v>Recorded as its own component; not generated in the current ’Mech-only stage.</x:v>
      </x:c>
    </x:row>
    <x:row r="76">
      <x:c r="A76" t="str">
        <x:v>Fifty-Seventh Striker Cluster “The Fangs of Death”|5</x:v>
      </x:c>
      <x:c r="B76" t="str">
        <x:v>Fifty-Seventh Striker Cluster “The Fangs of Death”</x:v>
      </x:c>
      <x:c r="C76" t="n">
        <x:v>5</x:v>
      </x:c>
      <x:c r="D76" t="str">
        <x:v>Clan</x:v>
      </x:c>
      <x:c r="E76" t="str">
        <x:v>Aerospace Trinary</x:v>
      </x:c>
      <x:c r="F76" t="n">
        <x:v>1</x:v>
      </x:c>
      <x:c r="G76" t="str">
        <x:v>—</x:v>
      </x:c>
      <x:c r="H76" t="str">
        <x:v>Aerospace</x:v>
      </x:c>
      <x:c r="I76" t="str">
        <x:v>Deferred — outside current ’Mech scope</x:v>
      </x:c>
      <x:c r="J76" t="str">
        <x:v>None</x:v>
      </x:c>
      <x:c r="K76" t="str">
        <x:v>Deferred</x:v>
      </x:c>
      <x:c r="L76" t="str">
        <x:v>Recorded as its own component; not generated in the current ’Mech-only stage.</x:v>
      </x:c>
    </x:row>
    <x:row r="77">
      <x:c r="A77" t="str">
        <x:v>First Fang|1</x:v>
      </x:c>
      <x:c r="B77" t="str">
        <x:v>First Fang</x:v>
      </x:c>
      <x:c r="C77" t="n">
        <x:v>1</x:v>
      </x:c>
      <x:c r="D77" t="str">
        <x:v>Clan</x:v>
      </x:c>
      <x:c r="E77" t="str">
        <x:v>Medium ’Mech Trinary</x:v>
      </x:c>
      <x:c r="F77" t="n">
        <x:v>1</x:v>
      </x:c>
      <x:c r="G77" t="str">
        <x:v>Medium</x:v>
      </x:c>
      <x:c r="H77" t="str">
        <x:v>Trinary</x:v>
      </x:c>
      <x:c r="I77" t="str">
        <x:v>Medium Trinary — Clan Formations</x:v>
      </x:c>
      <x:c r="J77" t="str">
        <x:v>Clan Medium ’Mechs → rolled formation type</x:v>
      </x:c>
      <x:c r="K77" t="str">
        <x:v>Ready for formation roll</x:v>
      </x:c>
      <x:c r="L77"/>
    </x:row>
    <x:row r="78">
      <x:c r="A78" t="str">
        <x:v>First Fang|2</x:v>
      </x:c>
      <x:c r="B78" t="str">
        <x:v>First Fang</x:v>
      </x:c>
      <x:c r="C78" t="n">
        <x:v>2</x:v>
      </x:c>
      <x:c r="D78" t="str">
        <x:v>Clan</x:v>
      </x:c>
      <x:c r="E78" t="str">
        <x:v>Medium ’Mech Trinary</x:v>
      </x:c>
      <x:c r="F78" t="n">
        <x:v>1</x:v>
      </x:c>
      <x:c r="G78" t="str">
        <x:v>Medium</x:v>
      </x:c>
      <x:c r="H78" t="str">
        <x:v>Trinary</x:v>
      </x:c>
      <x:c r="I78" t="str">
        <x:v>Medium Trinary — Clan Formations</x:v>
      </x:c>
      <x:c r="J78" t="str">
        <x:v>Clan Medium ’Mechs → rolled formation type</x:v>
      </x:c>
      <x:c r="K78" t="str">
        <x:v>Ready for formation roll</x:v>
      </x:c>
      <x:c r="L78"/>
    </x:row>
    <x:row r="79">
      <x:c r="A79" t="str">
        <x:v>First Fang|3</x:v>
      </x:c>
      <x:c r="B79" t="str">
        <x:v>First Fang</x:v>
      </x:c>
      <x:c r="C79" t="n">
        <x:v>3</x:v>
      </x:c>
      <x:c r="D79" t="str">
        <x:v>Clan</x:v>
      </x:c>
      <x:c r="E79" t="str">
        <x:v>Heavy ’Mech Trinary</x:v>
      </x:c>
      <x:c r="F79" t="n">
        <x:v>1</x:v>
      </x:c>
      <x:c r="G79" t="str">
        <x:v>Heavy</x:v>
      </x:c>
      <x:c r="H79" t="str">
        <x:v>Trinary</x:v>
      </x:c>
      <x:c r="I79" t="str">
        <x:v>Heavy Trinary — Clan Formations</x:v>
      </x:c>
      <x:c r="J79" t="str">
        <x:v>Clan Heavy ’Mechs → rolled formation type</x:v>
      </x:c>
      <x:c r="K79" t="str">
        <x:v>Ready for formation roll</x:v>
      </x:c>
      <x:c r="L79"/>
    </x:row>
    <x:row r="80">
      <x:c r="A80" t="str">
        <x:v>First Fang|4</x:v>
      </x:c>
      <x:c r="B80" t="str">
        <x:v>First Fang</x:v>
      </x:c>
      <x:c r="C80" t="n">
        <x:v>4</x:v>
      </x:c>
      <x:c r="D80" t="str">
        <x:v>Clan</x:v>
      </x:c>
      <x:c r="E80" t="str">
        <x:v>Infantry Trinary</x:v>
      </x:c>
      <x:c r="F80" t="n">
        <x:v>1</x:v>
      </x:c>
      <x:c r="G80" t="str">
        <x:v>—</x:v>
      </x:c>
      <x:c r="H80" t="str">
        <x:v>Infantry</x:v>
      </x:c>
      <x:c r="I80" t="str">
        <x:v>Deferred — outside current ’Mech scope</x:v>
      </x:c>
      <x:c r="J80" t="str">
        <x:v>None</x:v>
      </x:c>
      <x:c r="K80" t="str">
        <x:v>Deferred</x:v>
      </x:c>
      <x:c r="L80" t="str">
        <x:v>Recorded as its own component; not generated in the current ’Mech-only stage.</x:v>
      </x:c>
    </x:row>
    <x:row r="81">
      <x:c r="A81" t="str">
        <x:v>First Fang|5</x:v>
      </x:c>
      <x:c r="B81" t="str">
        <x:v>First Fang</x:v>
      </x:c>
      <x:c r="C81" t="n">
        <x:v>5</x:v>
      </x:c>
      <x:c r="D81" t="str">
        <x:v>Clan</x:v>
      </x:c>
      <x:c r="E81" t="str">
        <x:v>Aerospace Trinary</x:v>
      </x:c>
      <x:c r="F81" t="n">
        <x:v>1</x:v>
      </x:c>
      <x:c r="G81" t="str">
        <x:v>—</x:v>
      </x:c>
      <x:c r="H81" t="str">
        <x:v>Aerospace</x:v>
      </x:c>
      <x:c r="I81" t="str">
        <x:v>Deferred — outside current ’Mech scope</x:v>
      </x:c>
      <x:c r="J81" t="str">
        <x:v>None</x:v>
      </x:c>
      <x:c r="K81" t="str">
        <x:v>Deferred</x:v>
      </x:c>
      <x:c r="L81" t="str">
        <x:v>Recorded as its own component; not generated in the current ’Mech-only stage.</x:v>
      </x:c>
    </x:row>
    <x:row r="82">
      <x:c r="A82" t="str">
        <x:v>Alpha Galaxy Command Supernova “The Vision Keshik”|1</x:v>
      </x:c>
      <x:c r="B82" t="str">
        <x:v>Alpha Galaxy Command Supernova “The Vision Keshik”</x:v>
      </x:c>
      <x:c r="C82" t="n">
        <x:v>1</x:v>
      </x:c>
      <x:c r="D82" t="str">
        <x:v>Clan</x:v>
      </x:c>
      <x:c r="E82" t="str">
        <x:v>Heavy Supernova</x:v>
      </x:c>
      <x:c r="F82" t="n">
        <x:v>1</x:v>
      </x:c>
      <x:c r="G82" t="str">
        <x:v>Heavy</x:v>
      </x:c>
      <x:c r="H82" t="str">
        <x:v>Supernova</x:v>
      </x:c>
      <x:c r="I82" t="str">
        <x:v>Heavy Trinary — Clan Formations</x:v>
      </x:c>
      <x:c r="J82" t="str">
        <x:v>Clan Heavy ’Mechs → rolled formation type</x:v>
      </x:c>
      <x:c r="K82" t="str">
        <x:v>Ready for formation roll</x:v>
      </x:c>
      <x:c r="L82" t="str">
        <x:v>Use the ’Mech portion only; attached Elementals remain deferred.</x:v>
      </x:c>
    </x:row>
    <x:row r="83">
      <x:c r="A83" t="str">
        <x:v>Alpha Galaxy Command Supernova “The Vision Keshik”|2</x:v>
      </x:c>
      <x:c r="B83" t="str">
        <x:v>Alpha Galaxy Command Supernova “The Vision Keshik”</x:v>
      </x:c>
      <x:c r="C83" t="n">
        <x:v>2</x:v>
      </x:c>
      <x:c r="D83" t="str">
        <x:v>Clan</x:v>
      </x:c>
      <x:c r="E83" t="str">
        <x:v>Heavy Aerospace Star</x:v>
      </x:c>
      <x:c r="F83" t="n">
        <x:v>1</x:v>
      </x:c>
      <x:c r="G83" t="str">
        <x:v>—</x:v>
      </x:c>
      <x:c r="H83" t="str">
        <x:v>Aerospace</x:v>
      </x:c>
      <x:c r="I83" t="str">
        <x:v>Deferred — outside current ’Mech scope</x:v>
      </x:c>
      <x:c r="J83" t="str">
        <x:v>None</x:v>
      </x:c>
      <x:c r="K83" t="str">
        <x:v>Deferred</x:v>
      </x:c>
      <x:c r="L83" t="str">
        <x:v>Recorded as its own component; not generated in the current ’Mech-only stage.</x:v>
      </x:c>
    </x:row>
    <x:row r="84">
      <x:c r="A84" t="str">
        <x:v>489th Assault Cluster “The Third Eye”|1</x:v>
      </x:c>
      <x:c r="B84" t="str">
        <x:v>489th Assault Cluster “The Third Eye”</x:v>
      </x:c>
      <x:c r="C84" t="n">
        <x:v>1</x:v>
      </x:c>
      <x:c r="D84" t="str">
        <x:v>Clan</x:v>
      </x:c>
      <x:c r="E84" t="str">
        <x:v>Heavy Mixed Trinary</x:v>
      </x:c>
      <x:c r="F84" t="n">
        <x:v>1</x:v>
      </x:c>
      <x:c r="G84" t="str">
        <x:v>Heavy</x:v>
      </x:c>
      <x:c r="H84" t="str">
        <x:v>Trinary</x:v>
      </x:c>
      <x:c r="I84" t="str">
        <x:v>Heavy Trinary — Clan Formations</x:v>
      </x:c>
      <x:c r="J84" t="str">
        <x:v>Clan Heavy ’Mechs → rolled formation type</x:v>
      </x:c>
      <x:c r="K84" t="str">
        <x:v>Ready for formation roll</x:v>
      </x:c>
      <x:c r="L84"/>
    </x:row>
    <x:row r="85">
      <x:c r="A85" t="str">
        <x:v>489th Assault Cluster “The Third Eye”|2</x:v>
      </x:c>
      <x:c r="B85" t="str">
        <x:v>489th Assault Cluster “The Third Eye”</x:v>
      </x:c>
      <x:c r="C85" t="n">
        <x:v>2</x:v>
      </x:c>
      <x:c r="D85" t="str">
        <x:v>Clan</x:v>
      </x:c>
      <x:c r="E85" t="str">
        <x:v>Medium ’Mech Trinary</x:v>
      </x:c>
      <x:c r="F85" t="n">
        <x:v>1</x:v>
      </x:c>
      <x:c r="G85" t="str">
        <x:v>Medium</x:v>
      </x:c>
      <x:c r="H85" t="str">
        <x:v>Trinary</x:v>
      </x:c>
      <x:c r="I85" t="str">
        <x:v>Medium Trinary — Clan Formations</x:v>
      </x:c>
      <x:c r="J85" t="str">
        <x:v>Clan Medium ’Mechs → rolled formation type</x:v>
      </x:c>
      <x:c r="K85" t="str">
        <x:v>Ready for formation roll</x:v>
      </x:c>
      <x:c r="L85"/>
    </x:row>
    <x:row r="86">
      <x:c r="A86" t="str">
        <x:v>489th Assault Cluster “The Third Eye”|3</x:v>
      </x:c>
      <x:c r="B86" t="str">
        <x:v>489th Assault Cluster “The Third Eye”</x:v>
      </x:c>
      <x:c r="C86" t="n">
        <x:v>3</x:v>
      </x:c>
      <x:c r="D86" t="str">
        <x:v>Clan</x:v>
      </x:c>
      <x:c r="E86" t="str">
        <x:v>Medium ’Mech Trinary</x:v>
      </x:c>
      <x:c r="F86" t="n">
        <x:v>1</x:v>
      </x:c>
      <x:c r="G86" t="str">
        <x:v>Medium</x:v>
      </x:c>
      <x:c r="H86" t="str">
        <x:v>Trinary</x:v>
      </x:c>
      <x:c r="I86" t="str">
        <x:v>Medium Trinary — Clan Formations</x:v>
      </x:c>
      <x:c r="J86" t="str">
        <x:v>Clan Medium ’Mechs → rolled formation type</x:v>
      </x:c>
      <x:c r="K86" t="str">
        <x:v>Ready for formation roll</x:v>
      </x:c>
      <x:c r="L86"/>
    </x:row>
    <x:row r="87">
      <x:c r="A87" t="str">
        <x:v>489th Assault Cluster “The Third Eye”|4</x:v>
      </x:c>
      <x:c r="B87" t="str">
        <x:v>489th Assault Cluster “The Third Eye”</x:v>
      </x:c>
      <x:c r="C87" t="n">
        <x:v>4</x:v>
      </x:c>
      <x:c r="D87" t="str">
        <x:v>Clan</x:v>
      </x:c>
      <x:c r="E87" t="str">
        <x:v>Battle Armor Binary</x:v>
      </x:c>
      <x:c r="F87" t="n">
        <x:v>1</x:v>
      </x:c>
      <x:c r="G87" t="str">
        <x:v>—</x:v>
      </x:c>
      <x:c r="H87" t="str">
        <x:v>Battle Armor</x:v>
      </x:c>
      <x:c r="I87" t="str">
        <x:v>Deferred — outside current ’Mech scope</x:v>
      </x:c>
      <x:c r="J87" t="str">
        <x:v>None</x:v>
      </x:c>
      <x:c r="K87" t="str">
        <x:v>Deferred</x:v>
      </x:c>
      <x:c r="L87" t="str">
        <x:v>Recorded as its own component; not generated in the current ’Mech-only stage.</x:v>
      </x:c>
    </x:row>
    <x:row r="88">
      <x:c r="A88" t="str">
        <x:v>489th Assault Cluster “The Third Eye”|5</x:v>
      </x:c>
      <x:c r="B88" t="str">
        <x:v>489th Assault Cluster “The Third Eye”</x:v>
      </x:c>
      <x:c r="C88" t="n">
        <x:v>5</x:v>
      </x:c>
      <x:c r="D88" t="str">
        <x:v>Clan</x:v>
      </x:c>
      <x:c r="E88" t="str">
        <x:v>Battle Armor Binary</x:v>
      </x:c>
      <x:c r="F88" t="n">
        <x:v>1</x:v>
      </x:c>
      <x:c r="G88" t="str">
        <x:v>—</x:v>
      </x:c>
      <x:c r="H88" t="str">
        <x:v>Battle Armor</x:v>
      </x:c>
      <x:c r="I88" t="str">
        <x:v>Deferred — outside current ’Mech scope</x:v>
      </x:c>
      <x:c r="J88" t="str">
        <x:v>None</x:v>
      </x:c>
      <x:c r="K88" t="str">
        <x:v>Deferred</x:v>
      </x:c>
      <x:c r="L88" t="str">
        <x:v>Recorded as its own component; not generated in the current ’Mech-only stage.</x:v>
      </x:c>
    </x:row>
    <x:row r="89">
      <x:c r="A89" t="str">
        <x:v>489th Assault Cluster “The Third Eye”|6</x:v>
      </x:c>
      <x:c r="B89" t="str">
        <x:v>489th Assault Cluster “The Third Eye”</x:v>
      </x:c>
      <x:c r="C89" t="n">
        <x:v>6</x:v>
      </x:c>
      <x:c r="D89" t="str">
        <x:v>Clan</x:v>
      </x:c>
      <x:c r="E89" t="str">
        <x:v>Artillery Binary</x:v>
      </x:c>
      <x:c r="F89" t="n">
        <x:v>1</x:v>
      </x:c>
      <x:c r="G89" t="str">
        <x:v>—</x:v>
      </x:c>
      <x:c r="H89" t="str">
        <x:v>Artillery</x:v>
      </x:c>
      <x:c r="I89" t="str">
        <x:v>Deferred — outside current ’Mech scope</x:v>
      </x:c>
      <x:c r="J89" t="str">
        <x:v>None</x:v>
      </x:c>
      <x:c r="K89" t="str">
        <x:v>Deferred</x:v>
      </x:c>
      <x:c r="L89" t="str">
        <x:v>Recorded as its own component; not generated in the current ’Mech-only stage.</x:v>
      </x:c>
    </x:row>
    <x:row r="90">
      <x:c r="A90" t="str">
        <x:v>44th Nova Cat Cavaliers “The Five Actions”|1</x:v>
      </x:c>
      <x:c r="B90" t="str">
        <x:v>44th Nova Cat Cavaliers “The Five Actions”</x:v>
      </x:c>
      <x:c r="C90" t="n">
        <x:v>1</x:v>
      </x:c>
      <x:c r="D90" t="str">
        <x:v>Clan</x:v>
      </x:c>
      <x:c r="E90" t="str">
        <x:v>Medium ’Mech Trinary</x:v>
      </x:c>
      <x:c r="F90" t="n">
        <x:v>1</x:v>
      </x:c>
      <x:c r="G90" t="str">
        <x:v>Medium</x:v>
      </x:c>
      <x:c r="H90" t="str">
        <x:v>Trinary</x:v>
      </x:c>
      <x:c r="I90" t="str">
        <x:v>Medium Trinary — Clan Formations</x:v>
      </x:c>
      <x:c r="J90" t="str">
        <x:v>Clan Medium ’Mechs → rolled formation type</x:v>
      </x:c>
      <x:c r="K90" t="str">
        <x:v>Ready for formation roll</x:v>
      </x:c>
      <x:c r="L90"/>
    </x:row>
    <x:row r="91">
      <x:c r="A91" t="str">
        <x:v>44th Nova Cat Cavaliers “The Five Actions”|2</x:v>
      </x:c>
      <x:c r="B91" t="str">
        <x:v>44th Nova Cat Cavaliers “The Five Actions”</x:v>
      </x:c>
      <x:c r="C91" t="n">
        <x:v>2</x:v>
      </x:c>
      <x:c r="D91" t="str">
        <x:v>Clan</x:v>
      </x:c>
      <x:c r="E91" t="str">
        <x:v>Medium ’Mech Trinary</x:v>
      </x:c>
      <x:c r="F91" t="n">
        <x:v>1</x:v>
      </x:c>
      <x:c r="G91" t="str">
        <x:v>Medium</x:v>
      </x:c>
      <x:c r="H91" t="str">
        <x:v>Trinary</x:v>
      </x:c>
      <x:c r="I91" t="str">
        <x:v>Medium Trinary — Clan Formations</x:v>
      </x:c>
      <x:c r="J91" t="str">
        <x:v>Clan Medium ’Mechs → rolled formation type</x:v>
      </x:c>
      <x:c r="K91" t="str">
        <x:v>Ready for formation roll</x:v>
      </x:c>
      <x:c r="L91"/>
    </x:row>
    <x:row r="92">
      <x:c r="A92" t="str">
        <x:v>44th Nova Cat Cavaliers “The Five Actions”|3</x:v>
      </x:c>
      <x:c r="B92" t="str">
        <x:v>44th Nova Cat Cavaliers “The Five Actions”</x:v>
      </x:c>
      <x:c r="C92" t="n">
        <x:v>3</x:v>
      </x:c>
      <x:c r="D92" t="str">
        <x:v>Clan</x:v>
      </x:c>
      <x:c r="E92" t="str">
        <x:v>Medium ’Mech Trinary</x:v>
      </x:c>
      <x:c r="F92" t="n">
        <x:v>1</x:v>
      </x:c>
      <x:c r="G92" t="str">
        <x:v>Medium</x:v>
      </x:c>
      <x:c r="H92" t="str">
        <x:v>Trinary</x:v>
      </x:c>
      <x:c r="I92" t="str">
        <x:v>Medium Trinary — Clan Formations</x:v>
      </x:c>
      <x:c r="J92" t="str">
        <x:v>Clan Medium ’Mechs → rolled formation type</x:v>
      </x:c>
      <x:c r="K92" t="str">
        <x:v>Ready for formation roll</x:v>
      </x:c>
      <x:c r="L92"/>
    </x:row>
    <x:row r="93">
      <x:c r="A93" t="str">
        <x:v>44th Nova Cat Cavaliers “The Five Actions”|4</x:v>
      </x:c>
      <x:c r="B93" t="str">
        <x:v>44th Nova Cat Cavaliers “The Five Actions”</x:v>
      </x:c>
      <x:c r="C93" t="n">
        <x:v>4</x:v>
      </x:c>
      <x:c r="D93" t="str">
        <x:v>Clan</x:v>
      </x:c>
      <x:c r="E93" t="str">
        <x:v>Battle Armor Binary</x:v>
      </x:c>
      <x:c r="F93" t="n">
        <x:v>1</x:v>
      </x:c>
      <x:c r="G93" t="str">
        <x:v>—</x:v>
      </x:c>
      <x:c r="H93" t="str">
        <x:v>Battle Armor</x:v>
      </x:c>
      <x:c r="I93" t="str">
        <x:v>Deferred — outside current ’Mech scope</x:v>
      </x:c>
      <x:c r="J93" t="str">
        <x:v>None</x:v>
      </x:c>
      <x:c r="K93" t="str">
        <x:v>Deferred</x:v>
      </x:c>
      <x:c r="L93" t="str">
        <x:v>Recorded as its own component; not generated in the current ’Mech-only stage.</x:v>
      </x:c>
    </x:row>
    <x:row r="94">
      <x:c r="A94" t="str">
        <x:v>44th Nova Cat Cavaliers “The Five Actions”|5</x:v>
      </x:c>
      <x:c r="B94" t="str">
        <x:v>44th Nova Cat Cavaliers “The Five Actions”</x:v>
      </x:c>
      <x:c r="C94" t="n">
        <x:v>5</x:v>
      </x:c>
      <x:c r="D94" t="str">
        <x:v>Clan</x:v>
      </x:c>
      <x:c r="E94" t="str">
        <x:v>Aerospace Binary</x:v>
      </x:c>
      <x:c r="F94" t="n">
        <x:v>1</x:v>
      </x:c>
      <x:c r="G94" t="str">
        <x:v>—</x:v>
      </x:c>
      <x:c r="H94" t="str">
        <x:v>Aerospace</x:v>
      </x:c>
      <x:c r="I94" t="str">
        <x:v>Deferred — outside current ’Mech scope</x:v>
      </x:c>
      <x:c r="J94" t="str">
        <x:v>None</x:v>
      </x:c>
      <x:c r="K94" t="str">
        <x:v>Deferred</x:v>
      </x:c>
      <x:c r="L94" t="str">
        <x:v>Recorded as its own component; not generated in the current ’Mech-only stage.</x:v>
      </x:c>
    </x:row>
    <x:row r="95">
      <x:c r="A95" t="str">
        <x:v>Nova Cat Grenadiers “The Forest Path”|1</x:v>
      </x:c>
      <x:c r="B95" t="str">
        <x:v>Nova Cat Grenadiers “The Forest Path”</x:v>
      </x:c>
      <x:c r="C95" t="n">
        <x:v>1</x:v>
      </x:c>
      <x:c r="D95" t="str">
        <x:v>Clan</x:v>
      </x:c>
      <x:c r="E95" t="str">
        <x:v>Assault Supernova</x:v>
      </x:c>
      <x:c r="F95" t="n">
        <x:v>1</x:v>
      </x:c>
      <x:c r="G95" t="str">
        <x:v>Assault</x:v>
      </x:c>
      <x:c r="H95" t="str">
        <x:v>Supernova</x:v>
      </x:c>
      <x:c r="I95" t="str">
        <x:v>Assault Trinary — Clan Formations</x:v>
      </x:c>
      <x:c r="J95" t="str">
        <x:v>Clan Assault ’Mechs → rolled formation type</x:v>
      </x:c>
      <x:c r="K95" t="str">
        <x:v>Ready for formation roll</x:v>
      </x:c>
      <x:c r="L95" t="str">
        <x:v>Use the ’Mech portion only; attached Elementals remain deferred.</x:v>
      </x:c>
    </x:row>
    <x:row r="96">
      <x:c r="A96" t="str">
        <x:v>Nova Cat Grenadiers “The Forest Path”|2</x:v>
      </x:c>
      <x:c r="B96" t="str">
        <x:v>Nova Cat Grenadiers “The Forest Path”</x:v>
      </x:c>
      <x:c r="C96" t="n">
        <x:v>2</x:v>
      </x:c>
      <x:c r="D96" t="str">
        <x:v>Clan</x:v>
      </x:c>
      <x:c r="E96" t="str">
        <x:v>Heavy ’Mech Trinary</x:v>
      </x:c>
      <x:c r="F96" t="n">
        <x:v>1</x:v>
      </x:c>
      <x:c r="G96" t="str">
        <x:v>Heavy</x:v>
      </x:c>
      <x:c r="H96" t="str">
        <x:v>Trinary</x:v>
      </x:c>
      <x:c r="I96" t="str">
        <x:v>Heavy Trinary — Clan Formations</x:v>
      </x:c>
      <x:c r="J96" t="str">
        <x:v>Clan Heavy ’Mechs → rolled formation type</x:v>
      </x:c>
      <x:c r="K96" t="str">
        <x:v>Ready for formation roll</x:v>
      </x:c>
      <x:c r="L96"/>
    </x:row>
    <x:row r="97">
      <x:c r="A97" t="str">
        <x:v>Nova Cat Grenadiers “The Forest Path”|3</x:v>
      </x:c>
      <x:c r="B97" t="str">
        <x:v>Nova Cat Grenadiers “The Forest Path”</x:v>
      </x:c>
      <x:c r="C97" t="n">
        <x:v>3</x:v>
      </x:c>
      <x:c r="D97" t="str">
        <x:v>Clan</x:v>
      </x:c>
      <x:c r="E97" t="str">
        <x:v>Heavy ’Mech Trinary</x:v>
      </x:c>
      <x:c r="F97" t="n">
        <x:v>1</x:v>
      </x:c>
      <x:c r="G97" t="str">
        <x:v>Heavy</x:v>
      </x:c>
      <x:c r="H97" t="str">
        <x:v>Trinary</x:v>
      </x:c>
      <x:c r="I97" t="str">
        <x:v>Heavy Trinary — Clan Formations</x:v>
      </x:c>
      <x:c r="J97" t="str">
        <x:v>Clan Heavy ’Mechs → rolled formation type</x:v>
      </x:c>
      <x:c r="K97" t="str">
        <x:v>Ready for formation roll</x:v>
      </x:c>
      <x:c r="L97"/>
    </x:row>
    <x:row r="98">
      <x:c r="A98" t="str">
        <x:v>Nova Cat Grenadiers “The Forest Path”|4</x:v>
      </x:c>
      <x:c r="B98" t="str">
        <x:v>Nova Cat Grenadiers “The Forest Path”</x:v>
      </x:c>
      <x:c r="C98" t="n">
        <x:v>4</x:v>
      </x:c>
      <x:c r="D98" t="str">
        <x:v>Clan</x:v>
      </x:c>
      <x:c r="E98" t="str">
        <x:v>Heavy ’Mech Trinary</x:v>
      </x:c>
      <x:c r="F98" t="n">
        <x:v>1</x:v>
      </x:c>
      <x:c r="G98" t="str">
        <x:v>Heavy</x:v>
      </x:c>
      <x:c r="H98" t="str">
        <x:v>Trinary</x:v>
      </x:c>
      <x:c r="I98" t="str">
        <x:v>Heavy Trinary — Clan Formations</x:v>
      </x:c>
      <x:c r="J98" t="str">
        <x:v>Clan Heavy ’Mechs → rolled formation type</x:v>
      </x:c>
      <x:c r="K98" t="str">
        <x:v>Ready for formation roll</x:v>
      </x:c>
      <x:c r="L98"/>
    </x:row>
    <x:row r="99">
      <x:c r="A99" t="str">
        <x:v>Nova Cat Grenadiers “The Forest Path”|5</x:v>
      </x:c>
      <x:c r="B99" t="str">
        <x:v>Nova Cat Grenadiers “The Forest Path”</x:v>
      </x:c>
      <x:c r="C99" t="n">
        <x:v>5</x:v>
      </x:c>
      <x:c r="D99" t="str">
        <x:v>Clan</x:v>
      </x:c>
      <x:c r="E99" t="str">
        <x:v>Aerospace Binary</x:v>
      </x:c>
      <x:c r="F99" t="n">
        <x:v>1</x:v>
      </x:c>
      <x:c r="G99" t="str">
        <x:v>—</x:v>
      </x:c>
      <x:c r="H99" t="str">
        <x:v>Aerospace</x:v>
      </x:c>
      <x:c r="I99" t="str">
        <x:v>Deferred — outside current ’Mech scope</x:v>
      </x:c>
      <x:c r="J99" t="str">
        <x:v>None</x:v>
      </x:c>
      <x:c r="K99" t="str">
        <x:v>Deferred</x:v>
      </x:c>
      <x:c r="L99" t="str">
        <x:v>Recorded as its own component; not generated in the current ’Mech-only stage.</x:v>
      </x:c>
    </x:row>
    <x:row r="100">
      <x:c r="A100" t="str">
        <x:v>(Jade) Falcon Guards “Pryde’s Pride”|1</x:v>
      </x:c>
      <x:c r="B100" t="str">
        <x:v>(Jade) Falcon Guards “Pryde’s Pride”</x:v>
      </x:c>
      <x:c r="C100" t="n">
        <x:v>1</x:v>
      </x:c>
      <x:c r="D100" t="str">
        <x:v>Clan</x:v>
      </x:c>
      <x:c r="E100" t="str">
        <x:v>Heavy ’Mech Trinary</x:v>
      </x:c>
      <x:c r="F100" t="n">
        <x:v>1</x:v>
      </x:c>
      <x:c r="G100" t="str">
        <x:v>Heavy</x:v>
      </x:c>
      <x:c r="H100" t="str">
        <x:v>Trinary</x:v>
      </x:c>
      <x:c r="I100" t="str">
        <x:v>Heavy Trinary — Clan Formations</x:v>
      </x:c>
      <x:c r="J100" t="str">
        <x:v>Clan Heavy ’Mechs → rolled formation type</x:v>
      </x:c>
      <x:c r="K100" t="str">
        <x:v>Ready for formation roll</x:v>
      </x:c>
      <x:c r="L100"/>
    </x:row>
    <x:row r="101">
      <x:c r="A101" t="str">
        <x:v>(Jade) Falcon Guards “Pryde’s Pride”|2</x:v>
      </x:c>
      <x:c r="B101" t="str">
        <x:v>(Jade) Falcon Guards “Pryde’s Pride”</x:v>
      </x:c>
      <x:c r="C101" t="n">
        <x:v>2</x:v>
      </x:c>
      <x:c r="D101" t="str">
        <x:v>Clan</x:v>
      </x:c>
      <x:c r="E101" t="str">
        <x:v>Heavy ’Mech Trinary</x:v>
      </x:c>
      <x:c r="F101" t="n">
        <x:v>1</x:v>
      </x:c>
      <x:c r="G101" t="str">
        <x:v>Heavy</x:v>
      </x:c>
      <x:c r="H101" t="str">
        <x:v>Trinary</x:v>
      </x:c>
      <x:c r="I101" t="str">
        <x:v>Heavy Trinary — Clan Formations</x:v>
      </x:c>
      <x:c r="J101" t="str">
        <x:v>Clan Heavy ’Mechs → rolled formation type</x:v>
      </x:c>
      <x:c r="K101" t="str">
        <x:v>Ready for formation roll</x:v>
      </x:c>
      <x:c r="L101"/>
    </x:row>
    <x:row r="102">
      <x:c r="A102" t="str">
        <x:v>(Jade) Falcon Guards “Pryde’s Pride”|3</x:v>
      </x:c>
      <x:c r="B102" t="str">
        <x:v>(Jade) Falcon Guards “Pryde’s Pride”</x:v>
      </x:c>
      <x:c r="C102" t="n">
        <x:v>3</x:v>
      </x:c>
      <x:c r="D102" t="str">
        <x:v>Clan</x:v>
      </x:c>
      <x:c r="E102" t="str">
        <x:v>Medium ’Mech Trinary</x:v>
      </x:c>
      <x:c r="F102" t="n">
        <x:v>1</x:v>
      </x:c>
      <x:c r="G102" t="str">
        <x:v>Medium</x:v>
      </x:c>
      <x:c r="H102" t="str">
        <x:v>Trinary</x:v>
      </x:c>
      <x:c r="I102" t="str">
        <x:v>Medium Trinary — Clan Formations</x:v>
      </x:c>
      <x:c r="J102" t="str">
        <x:v>Clan Medium ’Mechs → rolled formation type</x:v>
      </x:c>
      <x:c r="K102" t="str">
        <x:v>Ready for formation roll</x:v>
      </x:c>
      <x:c r="L102"/>
    </x:row>
    <x:row r="103">
      <x:c r="A103" t="str">
        <x:v>(Jade) Falcon Guards “Pryde’s Pride”|4</x:v>
      </x:c>
      <x:c r="B103" t="str">
        <x:v>(Jade) Falcon Guards “Pryde’s Pride”</x:v>
      </x:c>
      <x:c r="C103" t="n">
        <x:v>4</x:v>
      </x:c>
      <x:c r="D103" t="str">
        <x:v>Clan</x:v>
      </x:c>
      <x:c r="E103" t="str">
        <x:v>Battle Armor Trinary</x:v>
      </x:c>
      <x:c r="F103" t="n">
        <x:v>1</x:v>
      </x:c>
      <x:c r="G103" t="str">
        <x:v>—</x:v>
      </x:c>
      <x:c r="H103" t="str">
        <x:v>Battle Armor</x:v>
      </x:c>
      <x:c r="I103" t="str">
        <x:v>Deferred — outside current ’Mech scope</x:v>
      </x:c>
      <x:c r="J103" t="str">
        <x:v>None</x:v>
      </x:c>
      <x:c r="K103" t="str">
        <x:v>Deferred</x:v>
      </x:c>
      <x:c r="L103" t="str">
        <x:v>Recorded as its own component; not generated in the current ’Mech-only stage.</x:v>
      </x:c>
    </x:row>
    <x:row r="104">
      <x:c r="A104" t="str">
        <x:v>(Jade) Falcon Guards “Pryde’s Pride”|5</x:v>
      </x:c>
      <x:c r="B104" t="str">
        <x:v>(Jade) Falcon Guards “Pryde’s Pride”</x:v>
      </x:c>
      <x:c r="C104" t="n">
        <x:v>5</x:v>
      </x:c>
      <x:c r="D104" t="str">
        <x:v>Clan</x:v>
      </x:c>
      <x:c r="E104" t="str">
        <x:v>Battle Armor Trinary</x:v>
      </x:c>
      <x:c r="F104" t="n">
        <x:v>1</x:v>
      </x:c>
      <x:c r="G104" t="str">
        <x:v>—</x:v>
      </x:c>
      <x:c r="H104" t="str">
        <x:v>Battle Armor</x:v>
      </x:c>
      <x:c r="I104" t="str">
        <x:v>Deferred — outside current ’Mech scope</x:v>
      </x:c>
      <x:c r="J104" t="str">
        <x:v>None</x:v>
      </x:c>
      <x:c r="K104" t="str">
        <x:v>Deferred</x:v>
      </x:c>
      <x:c r="L104" t="str">
        <x:v>Recorded as its own component; not generated in the current ’Mech-only stage.</x:v>
      </x:c>
    </x:row>
    <x:row r="105">
      <x:c r="A105" t="str">
        <x:v>(Jade) Falcon Guards “Pryde’s Pride”|6</x:v>
      </x:c>
      <x:c r="B105" t="str">
        <x:v>(Jade) Falcon Guards “Pryde’s Pride”</x:v>
      </x:c>
      <x:c r="C105" t="n">
        <x:v>6</x:v>
      </x:c>
      <x:c r="D105" t="str">
        <x:v>Clan</x:v>
      </x:c>
      <x:c r="E105" t="str">
        <x:v>Command Star</x:v>
      </x:c>
      <x:c r="F105" t="n">
        <x:v>1</x:v>
      </x:c>
      <x:c r="G105" t="str">
        <x:v>Rolled</x:v>
      </x:c>
      <x:c r="H105" t="str">
        <x:v>Star</x:v>
      </x:c>
      <x:c r="I105" t="str">
        <x:v>Star Formation Type — Clan Formations</x:v>
      </x:c>
      <x:c r="J105" t="str">
        <x:v>Clan rolled-weight ’Mechs → rolled formation type</x:v>
      </x:c>
      <x:c r="K105" t="str">
        <x:v>Ready for formation roll</x:v>
      </x:c>
      <x:c r="L105"/>
    </x:row>
    <x:row r="106">
      <x:c r="A106" t="str">
        <x:v>Third Falcon Talon “The Jade Claymores”|1</x:v>
      </x:c>
      <x:c r="B106" t="str">
        <x:v>Third Falcon Talon “The Jade Claymores”</x:v>
      </x:c>
      <x:c r="C106" t="n">
        <x:v>1</x:v>
      </x:c>
      <x:c r="D106" t="str">
        <x:v>Clan</x:v>
      </x:c>
      <x:c r="E106" t="str">
        <x:v>Heavy ’Mech Trinary</x:v>
      </x:c>
      <x:c r="F106" t="n">
        <x:v>1</x:v>
      </x:c>
      <x:c r="G106" t="str">
        <x:v>Heavy</x:v>
      </x:c>
      <x:c r="H106" t="str">
        <x:v>Trinary</x:v>
      </x:c>
      <x:c r="I106" t="str">
        <x:v>Heavy Trinary — Clan Formations</x:v>
      </x:c>
      <x:c r="J106" t="str">
        <x:v>Clan Heavy ’Mechs → rolled formation type</x:v>
      </x:c>
      <x:c r="K106" t="str">
        <x:v>Ready for formation roll</x:v>
      </x:c>
      <x:c r="L106"/>
    </x:row>
    <x:row r="107">
      <x:c r="A107" t="str">
        <x:v>Third Falcon Talon “The Jade Claymores”|2</x:v>
      </x:c>
      <x:c r="B107" t="str">
        <x:v>Third Falcon Talon “The Jade Claymores”</x:v>
      </x:c>
      <x:c r="C107" t="n">
        <x:v>2</x:v>
      </x:c>
      <x:c r="D107" t="str">
        <x:v>Clan</x:v>
      </x:c>
      <x:c r="E107" t="str">
        <x:v>Heavy ’Mech Trinary</x:v>
      </x:c>
      <x:c r="F107" t="n">
        <x:v>1</x:v>
      </x:c>
      <x:c r="G107" t="str">
        <x:v>Heavy</x:v>
      </x:c>
      <x:c r="H107" t="str">
        <x:v>Trinary</x:v>
      </x:c>
      <x:c r="I107" t="str">
        <x:v>Heavy Trinary — Clan Formations</x:v>
      </x:c>
      <x:c r="J107" t="str">
        <x:v>Clan Heavy ’Mechs → rolled formation type</x:v>
      </x:c>
      <x:c r="K107" t="str">
        <x:v>Ready for formation roll</x:v>
      </x:c>
      <x:c r="L107"/>
    </x:row>
    <x:row r="108">
      <x:c r="A108" t="str">
        <x:v>Third Falcon Talon “The Jade Claymores”|3</x:v>
      </x:c>
      <x:c r="B108" t="str">
        <x:v>Third Falcon Talon “The Jade Claymores”</x:v>
      </x:c>
      <x:c r="C108" t="n">
        <x:v>3</x:v>
      </x:c>
      <x:c r="D108" t="str">
        <x:v>Clan</x:v>
      </x:c>
      <x:c r="E108" t="str">
        <x:v>Battle Armor Trinary</x:v>
      </x:c>
      <x:c r="F108" t="n">
        <x:v>1</x:v>
      </x:c>
      <x:c r="G108" t="str">
        <x:v>—</x:v>
      </x:c>
      <x:c r="H108" t="str">
        <x:v>Battle Armor</x:v>
      </x:c>
      <x:c r="I108" t="str">
        <x:v>Deferred — outside current ’Mech scope</x:v>
      </x:c>
      <x:c r="J108" t="str">
        <x:v>None</x:v>
      </x:c>
      <x:c r="K108" t="str">
        <x:v>Deferred</x:v>
      </x:c>
      <x:c r="L108" t="str">
        <x:v>Recorded as its own component; not generated in the current ’Mech-only stage.</x:v>
      </x:c>
    </x:row>
    <x:row r="109">
      <x:c r="A109" t="str">
        <x:v>Third Falcon Talon “The Jade Claymores”|4</x:v>
      </x:c>
      <x:c r="B109" t="str">
        <x:v>Third Falcon Talon “The Jade Claymores”</x:v>
      </x:c>
      <x:c r="C109" t="n">
        <x:v>4</x:v>
      </x:c>
      <x:c r="D109" t="str">
        <x:v>Clan</x:v>
      </x:c>
      <x:c r="E109" t="str">
        <x:v>Battle Armor Trinary</x:v>
      </x:c>
      <x:c r="F109" t="n">
        <x:v>1</x:v>
      </x:c>
      <x:c r="G109" t="str">
        <x:v>—</x:v>
      </x:c>
      <x:c r="H109" t="str">
        <x:v>Battle Armor</x:v>
      </x:c>
      <x:c r="I109" t="str">
        <x:v>Deferred — outside current ’Mech scope</x:v>
      </x:c>
      <x:c r="J109" t="str">
        <x:v>None</x:v>
      </x:c>
      <x:c r="K109" t="str">
        <x:v>Deferred</x:v>
      </x:c>
      <x:c r="L109" t="str">
        <x:v>Recorded as its own component; not generated in the current ’Mech-only stage.</x:v>
      </x:c>
    </x:row>
    <x:row r="110">
      <x:c r="A110" t="str">
        <x:v>Third Falcon Talon “The Jade Claymores”|5</x:v>
      </x:c>
      <x:c r="B110" t="str">
        <x:v>Third Falcon Talon “The Jade Claymores”</x:v>
      </x:c>
      <x:c r="C110" t="n">
        <x:v>5</x:v>
      </x:c>
      <x:c r="D110" t="str">
        <x:v>Clan</x:v>
      </x:c>
      <x:c r="E110" t="str">
        <x:v>Aerospace Trinary</x:v>
      </x:c>
      <x:c r="F110" t="n">
        <x:v>1</x:v>
      </x:c>
      <x:c r="G110" t="str">
        <x:v>—</x:v>
      </x:c>
      <x:c r="H110" t="str">
        <x:v>Aerospace</x:v>
      </x:c>
      <x:c r="I110" t="str">
        <x:v>Deferred — outside current ’Mech scope</x:v>
      </x:c>
      <x:c r="J110" t="str">
        <x:v>None</x:v>
      </x:c>
      <x:c r="K110" t="str">
        <x:v>Deferred</x:v>
      </x:c>
      <x:c r="L110" t="str">
        <x:v>Recorded as its own component; not generated in the current ’Mech-only stage.</x:v>
      </x:c>
    </x:row>
    <x:row r="111">
      <x:c r="A111" t="str">
        <x:v>Third Falcon Talon “The Jade Claymores”|6</x:v>
      </x:c>
      <x:c r="B111" t="str">
        <x:v>Third Falcon Talon “The Jade Claymores”</x:v>
      </x:c>
      <x:c r="C111" t="n">
        <x:v>6</x:v>
      </x:c>
      <x:c r="D111" t="str">
        <x:v>Clan</x:v>
      </x:c>
      <x:c r="E111" t="str">
        <x:v>Command Star</x:v>
      </x:c>
      <x:c r="F111" t="n">
        <x:v>1</x:v>
      </x:c>
      <x:c r="G111" t="str">
        <x:v>Rolled</x:v>
      </x:c>
      <x:c r="H111" t="str">
        <x:v>Star</x:v>
      </x:c>
      <x:c r="I111" t="str">
        <x:v>Star Formation Type — Clan Formations</x:v>
      </x:c>
      <x:c r="J111" t="str">
        <x:v>Clan rolled-weight ’Mechs → rolled formation type</x:v>
      </x:c>
      <x:c r="K111" t="str">
        <x:v>Ready for formation roll</x:v>
      </x:c>
      <x:c r="L111"/>
    </x:row>
    <x:row r="112">
      <x:c r="A112" t="str">
        <x:v>First Falcon Striker Cluster “The Pursuing Peregrines”|1</x:v>
      </x:c>
      <x:c r="B112" t="str">
        <x:v>First Falcon Striker Cluster “The Pursuing Peregrines”</x:v>
      </x:c>
      <x:c r="C112" t="n">
        <x:v>1</x:v>
      </x:c>
      <x:c r="D112" t="str">
        <x:v>Clan</x:v>
      </x:c>
      <x:c r="E112" t="str">
        <x:v>Medium ’Mech Trinary</x:v>
      </x:c>
      <x:c r="F112" t="n">
        <x:v>1</x:v>
      </x:c>
      <x:c r="G112" t="str">
        <x:v>Medium</x:v>
      </x:c>
      <x:c r="H112" t="str">
        <x:v>Trinary</x:v>
      </x:c>
      <x:c r="I112" t="str">
        <x:v>Medium Trinary — Clan Formations</x:v>
      </x:c>
      <x:c r="J112" t="str">
        <x:v>Clan Medium ’Mechs → rolled formation type</x:v>
      </x:c>
      <x:c r="K112" t="str">
        <x:v>Ready for formation roll</x:v>
      </x:c>
      <x:c r="L112"/>
    </x:row>
    <x:row r="113">
      <x:c r="A113" t="str">
        <x:v>First Falcon Striker Cluster “The Pursuing Peregrines”|2</x:v>
      </x:c>
      <x:c r="B113" t="str">
        <x:v>First Falcon Striker Cluster “The Pursuing Peregrines”</x:v>
      </x:c>
      <x:c r="C113" t="n">
        <x:v>2</x:v>
      </x:c>
      <x:c r="D113" t="str">
        <x:v>Clan</x:v>
      </x:c>
      <x:c r="E113" t="str">
        <x:v>Medium ’Mech Trinary</x:v>
      </x:c>
      <x:c r="F113" t="n">
        <x:v>1</x:v>
      </x:c>
      <x:c r="G113" t="str">
        <x:v>Medium</x:v>
      </x:c>
      <x:c r="H113" t="str">
        <x:v>Trinary</x:v>
      </x:c>
      <x:c r="I113" t="str">
        <x:v>Medium Trinary — Clan Formations</x:v>
      </x:c>
      <x:c r="J113" t="str">
        <x:v>Clan Medium ’Mechs → rolled formation type</x:v>
      </x:c>
      <x:c r="K113" t="str">
        <x:v>Ready for formation roll</x:v>
      </x:c>
      <x:c r="L113"/>
    </x:row>
    <x:row r="114">
      <x:c r="A114" t="str">
        <x:v>First Falcon Striker Cluster “The Pursuing Peregrines”|3</x:v>
      </x:c>
      <x:c r="B114" t="str">
        <x:v>First Falcon Striker Cluster “The Pursuing Peregrines”</x:v>
      </x:c>
      <x:c r="C114" t="n">
        <x:v>3</x:v>
      </x:c>
      <x:c r="D114" t="str">
        <x:v>Clan</x:v>
      </x:c>
      <x:c r="E114" t="str">
        <x:v>Medium ’Mech Trinary</x:v>
      </x:c>
      <x:c r="F114" t="n">
        <x:v>1</x:v>
      </x:c>
      <x:c r="G114" t="str">
        <x:v>Medium</x:v>
      </x:c>
      <x:c r="H114" t="str">
        <x:v>Trinary</x:v>
      </x:c>
      <x:c r="I114" t="str">
        <x:v>Medium Trinary — Clan Formations</x:v>
      </x:c>
      <x:c r="J114" t="str">
        <x:v>Clan Medium ’Mechs → rolled formation type</x:v>
      </x:c>
      <x:c r="K114" t="str">
        <x:v>Ready for formation roll</x:v>
      </x:c>
      <x:c r="L114"/>
    </x:row>
    <x:row r="115">
      <x:c r="A115" t="str">
        <x:v>First Falcon Striker Cluster “The Pursuing Peregrines”|4</x:v>
      </x:c>
      <x:c r="B115" t="str">
        <x:v>First Falcon Striker Cluster “The Pursuing Peregrines”</x:v>
      </x:c>
      <x:c r="C115" t="n">
        <x:v>4</x:v>
      </x:c>
      <x:c r="D115" t="str">
        <x:v>Clan</x:v>
      </x:c>
      <x:c r="E115" t="str">
        <x:v>Battle Armor Trinary</x:v>
      </x:c>
      <x:c r="F115" t="n">
        <x:v>1</x:v>
      </x:c>
      <x:c r="G115" t="str">
        <x:v>—</x:v>
      </x:c>
      <x:c r="H115" t="str">
        <x:v>Battle Armor</x:v>
      </x:c>
      <x:c r="I115" t="str">
        <x:v>Deferred — outside current ’Mech scope</x:v>
      </x:c>
      <x:c r="J115" t="str">
        <x:v>None</x:v>
      </x:c>
      <x:c r="K115" t="str">
        <x:v>Deferred</x:v>
      </x:c>
      <x:c r="L115" t="str">
        <x:v>Recorded as its own component; not generated in the current ’Mech-only stage.</x:v>
      </x:c>
    </x:row>
    <x:row r="116">
      <x:c r="A116" t="str">
        <x:v>First Falcon Striker Cluster “The Pursuing Peregrines”|5</x:v>
      </x:c>
      <x:c r="B116" t="str">
        <x:v>First Falcon Striker Cluster “The Pursuing Peregrines”</x:v>
      </x:c>
      <x:c r="C116" t="n">
        <x:v>5</x:v>
      </x:c>
      <x:c r="D116" t="str">
        <x:v>Clan</x:v>
      </x:c>
      <x:c r="E116" t="str">
        <x:v>Aerospace Trinary</x:v>
      </x:c>
      <x:c r="F116" t="n">
        <x:v>1</x:v>
      </x:c>
      <x:c r="G116" t="str">
        <x:v>—</x:v>
      </x:c>
      <x:c r="H116" t="str">
        <x:v>Aerospace</x:v>
      </x:c>
      <x:c r="I116" t="str">
        <x:v>Deferred — outside current ’Mech scope</x:v>
      </x:c>
      <x:c r="J116" t="str">
        <x:v>None</x:v>
      </x:c>
      <x:c r="K116" t="str">
        <x:v>Deferred</x:v>
      </x:c>
      <x:c r="L116" t="str">
        <x:v>Recorded as its own component; not generated in the current ’Mech-only stage.</x:v>
      </x:c>
    </x:row>
    <x:row r="117">
      <x:c r="A117" t="str">
        <x:v>First Falcon Striker Cluster “The Pursuing Peregrines”|6</x:v>
      </x:c>
      <x:c r="B117" t="str">
        <x:v>First Falcon Striker Cluster “The Pursuing Peregrines”</x:v>
      </x:c>
      <x:c r="C117" t="n">
        <x:v>6</x:v>
      </x:c>
      <x:c r="D117" t="str">
        <x:v>Clan</x:v>
      </x:c>
      <x:c r="E117" t="str">
        <x:v>Command Star</x:v>
      </x:c>
      <x:c r="F117" t="n">
        <x:v>1</x:v>
      </x:c>
      <x:c r="G117" t="str">
        <x:v>Rolled</x:v>
      </x:c>
      <x:c r="H117" t="str">
        <x:v>Star</x:v>
      </x:c>
      <x:c r="I117" t="str">
        <x:v>Star Formation Type — Clan Formations</x:v>
      </x:c>
      <x:c r="J117" t="str">
        <x:v>Clan rolled-weight ’Mechs → rolled formation type</x:v>
      </x:c>
      <x:c r="K117" t="str">
        <x:v>Ready for formation roll</x:v>
      </x:c>
      <x:c r="L117"/>
    </x:row>
    <x:row r="118">
      <x:c r="A118" t="str">
        <x:v>Second Falcon Jaegers “The Frost Falcons”|1</x:v>
      </x:c>
      <x:c r="B118" t="str">
        <x:v>Second Falcon Jaegers “The Frost Falcons”</x:v>
      </x:c>
      <x:c r="C118" t="n">
        <x:v>1</x:v>
      </x:c>
      <x:c r="D118" t="str">
        <x:v>Clan</x:v>
      </x:c>
      <x:c r="E118" t="str">
        <x:v>Medium ’Mech Trinary</x:v>
      </x:c>
      <x:c r="F118" t="n">
        <x:v>1</x:v>
      </x:c>
      <x:c r="G118" t="str">
        <x:v>Medium</x:v>
      </x:c>
      <x:c r="H118" t="str">
        <x:v>Trinary</x:v>
      </x:c>
      <x:c r="I118" t="str">
        <x:v>Medium Trinary — Clan Formations</x:v>
      </x:c>
      <x:c r="J118" t="str">
        <x:v>Clan Medium ’Mechs → rolled formation type</x:v>
      </x:c>
      <x:c r="K118" t="str">
        <x:v>Ready for formation roll</x:v>
      </x:c>
      <x:c r="L118"/>
    </x:row>
    <x:row r="119">
      <x:c r="A119" t="str">
        <x:v>Second Falcon Jaegers “The Frost Falcons”|2</x:v>
      </x:c>
      <x:c r="B119" t="str">
        <x:v>Second Falcon Jaegers “The Frost Falcons”</x:v>
      </x:c>
      <x:c r="C119" t="n">
        <x:v>2</x:v>
      </x:c>
      <x:c r="D119" t="str">
        <x:v>Clan</x:v>
      </x:c>
      <x:c r="E119" t="str">
        <x:v>Medium ’Mech Trinary</x:v>
      </x:c>
      <x:c r="F119" t="n">
        <x:v>1</x:v>
      </x:c>
      <x:c r="G119" t="str">
        <x:v>Medium</x:v>
      </x:c>
      <x:c r="H119" t="str">
        <x:v>Trinary</x:v>
      </x:c>
      <x:c r="I119" t="str">
        <x:v>Medium Trinary — Clan Formations</x:v>
      </x:c>
      <x:c r="J119" t="str">
        <x:v>Clan Medium ’Mechs → rolled formation type</x:v>
      </x:c>
      <x:c r="K119" t="str">
        <x:v>Ready for formation roll</x:v>
      </x:c>
      <x:c r="L119"/>
    </x:row>
    <x:row r="120">
      <x:c r="A120" t="str">
        <x:v>Second Falcon Jaegers “The Frost Falcons”|3</x:v>
      </x:c>
      <x:c r="B120" t="str">
        <x:v>Second Falcon Jaegers “The Frost Falcons”</x:v>
      </x:c>
      <x:c r="C120" t="n">
        <x:v>3</x:v>
      </x:c>
      <x:c r="D120" t="str">
        <x:v>Clan</x:v>
      </x:c>
      <x:c r="E120" t="str">
        <x:v>Medium ’Mech Trinary</x:v>
      </x:c>
      <x:c r="F120" t="n">
        <x:v>1</x:v>
      </x:c>
      <x:c r="G120" t="str">
        <x:v>Medium</x:v>
      </x:c>
      <x:c r="H120" t="str">
        <x:v>Trinary</x:v>
      </x:c>
      <x:c r="I120" t="str">
        <x:v>Medium Trinary — Clan Formations</x:v>
      </x:c>
      <x:c r="J120" t="str">
        <x:v>Clan Medium ’Mechs → rolled formation type</x:v>
      </x:c>
      <x:c r="K120" t="str">
        <x:v>Ready for formation roll</x:v>
      </x:c>
      <x:c r="L120"/>
    </x:row>
    <x:row r="121">
      <x:c r="A121" t="str">
        <x:v>Second Falcon Jaegers “The Frost Falcons”|4</x:v>
      </x:c>
      <x:c r="B121" t="str">
        <x:v>Second Falcon Jaegers “The Frost Falcons”</x:v>
      </x:c>
      <x:c r="C121" t="n">
        <x:v>4</x:v>
      </x:c>
      <x:c r="D121" t="str">
        <x:v>Clan</x:v>
      </x:c>
      <x:c r="E121" t="str">
        <x:v>Battle Armor Trinary</x:v>
      </x:c>
      <x:c r="F121" t="n">
        <x:v>1</x:v>
      </x:c>
      <x:c r="G121" t="str">
        <x:v>—</x:v>
      </x:c>
      <x:c r="H121" t="str">
        <x:v>Battle Armor</x:v>
      </x:c>
      <x:c r="I121" t="str">
        <x:v>Deferred — outside current ’Mech scope</x:v>
      </x:c>
      <x:c r="J121" t="str">
        <x:v>None</x:v>
      </x:c>
      <x:c r="K121" t="str">
        <x:v>Deferred</x:v>
      </x:c>
      <x:c r="L121" t="str">
        <x:v>Recorded as its own component; not generated in the current ’Mech-only stage.</x:v>
      </x:c>
    </x:row>
    <x:row r="122">
      <x:c r="A122" t="str">
        <x:v>Second Falcon Jaegers “The Frost Falcons”|5</x:v>
      </x:c>
      <x:c r="B122" t="str">
        <x:v>Second Falcon Jaegers “The Frost Falcons”</x:v>
      </x:c>
      <x:c r="C122" t="n">
        <x:v>5</x:v>
      </x:c>
      <x:c r="D122" t="str">
        <x:v>Clan</x:v>
      </x:c>
      <x:c r="E122" t="str">
        <x:v>Aerospace Trinary</x:v>
      </x:c>
      <x:c r="F122" t="n">
        <x:v>1</x:v>
      </x:c>
      <x:c r="G122" t="str">
        <x:v>—</x:v>
      </x:c>
      <x:c r="H122" t="str">
        <x:v>Aerospace</x:v>
      </x:c>
      <x:c r="I122" t="str">
        <x:v>Deferred — outside current ’Mech scope</x:v>
      </x:c>
      <x:c r="J122" t="str">
        <x:v>None</x:v>
      </x:c>
      <x:c r="K122" t="str">
        <x:v>Deferred</x:v>
      </x:c>
      <x:c r="L122" t="str">
        <x:v>Recorded as its own component; not generated in the current ’Mech-only stage.</x:v>
      </x:c>
    </x:row>
    <x:row r="123">
      <x:c r="A123" t="str">
        <x:v>Second Falcon Jaegers “The Frost Falcons”|6</x:v>
      </x:c>
      <x:c r="B123" t="str">
        <x:v>Second Falcon Jaegers “The Frost Falcons”</x:v>
      </x:c>
      <x:c r="C123" t="n">
        <x:v>6</x:v>
      </x:c>
      <x:c r="D123" t="str">
        <x:v>Clan</x:v>
      </x:c>
      <x:c r="E123" t="str">
        <x:v>Command Star</x:v>
      </x:c>
      <x:c r="F123" t="n">
        <x:v>1</x:v>
      </x:c>
      <x:c r="G123" t="str">
        <x:v>Rolled</x:v>
      </x:c>
      <x:c r="H123" t="str">
        <x:v>Star</x:v>
      </x:c>
      <x:c r="I123" t="str">
        <x:v>Star Formation Type — Clan Formations</x:v>
      </x:c>
      <x:c r="J123" t="str">
        <x:v>Clan rolled-weight ’Mechs → rolled formation type</x:v>
      </x:c>
      <x:c r="K123" t="str">
        <x:v>Ready for formation roll</x:v>
      </x:c>
      <x:c r="L123"/>
    </x:row>
    <x:row r="124">
      <x:c r="A124" t="str">
        <x:v>Thirteenth Wolf Guard “The Wolf Spiders”|1</x:v>
      </x:c>
      <x:c r="B124" t="str">
        <x:v>Thirteenth Wolf Guard “The Wolf Spiders”</x:v>
      </x:c>
      <x:c r="C124" t="n">
        <x:v>1</x:v>
      </x:c>
      <x:c r="D124" t="str">
        <x:v>Clan</x:v>
      </x:c>
      <x:c r="E124" t="str">
        <x:v>Heavy ’Mech Trinary</x:v>
      </x:c>
      <x:c r="F124" t="n">
        <x:v>1</x:v>
      </x:c>
      <x:c r="G124" t="str">
        <x:v>Heavy</x:v>
      </x:c>
      <x:c r="H124" t="str">
        <x:v>Trinary</x:v>
      </x:c>
      <x:c r="I124" t="str">
        <x:v>Heavy Trinary — Clan Formations</x:v>
      </x:c>
      <x:c r="J124" t="str">
        <x:v>Clan Heavy ’Mechs → rolled formation type</x:v>
      </x:c>
      <x:c r="K124" t="str">
        <x:v>Ready for formation roll</x:v>
      </x:c>
      <x:c r="L124"/>
    </x:row>
    <x:row r="125">
      <x:c r="A125" t="str">
        <x:v>Thirteenth Wolf Guard “The Wolf Spiders”|2</x:v>
      </x:c>
      <x:c r="B125" t="str">
        <x:v>Thirteenth Wolf Guard “The Wolf Spiders”</x:v>
      </x:c>
      <x:c r="C125" t="n">
        <x:v>2</x:v>
      </x:c>
      <x:c r="D125" t="str">
        <x:v>Clan</x:v>
      </x:c>
      <x:c r="E125" t="str">
        <x:v>Heavy ’Mech Trinary</x:v>
      </x:c>
      <x:c r="F125" t="n">
        <x:v>1</x:v>
      </x:c>
      <x:c r="G125" t="str">
        <x:v>Heavy</x:v>
      </x:c>
      <x:c r="H125" t="str">
        <x:v>Trinary</x:v>
      </x:c>
      <x:c r="I125" t="str">
        <x:v>Heavy Trinary — Clan Formations</x:v>
      </x:c>
      <x:c r="J125" t="str">
        <x:v>Clan Heavy ’Mechs → rolled formation type</x:v>
      </x:c>
      <x:c r="K125" t="str">
        <x:v>Ready for formation roll</x:v>
      </x:c>
      <x:c r="L125"/>
    </x:row>
    <x:row r="126">
      <x:c r="A126" t="str">
        <x:v>Thirteenth Wolf Guard “The Wolf Spiders”|3</x:v>
      </x:c>
      <x:c r="B126" t="str">
        <x:v>Thirteenth Wolf Guard “The Wolf Spiders”</x:v>
      </x:c>
      <x:c r="C126" t="n">
        <x:v>3</x:v>
      </x:c>
      <x:c r="D126" t="str">
        <x:v>Clan</x:v>
      </x:c>
      <x:c r="E126" t="str">
        <x:v>Heavy ’Mech Trinary</x:v>
      </x:c>
      <x:c r="F126" t="n">
        <x:v>1</x:v>
      </x:c>
      <x:c r="G126" t="str">
        <x:v>Heavy</x:v>
      </x:c>
      <x:c r="H126" t="str">
        <x:v>Trinary</x:v>
      </x:c>
      <x:c r="I126" t="str">
        <x:v>Heavy Trinary — Clan Formations</x:v>
      </x:c>
      <x:c r="J126" t="str">
        <x:v>Clan Heavy ’Mechs → rolled formation type</x:v>
      </x:c>
      <x:c r="K126" t="str">
        <x:v>Ready for formation roll</x:v>
      </x:c>
      <x:c r="L126"/>
    </x:row>
    <x:row r="127">
      <x:c r="A127" t="str">
        <x:v>Thirteenth Wolf Guard “The Wolf Spiders”|4</x:v>
      </x:c>
      <x:c r="B127" t="str">
        <x:v>Thirteenth Wolf Guard “The Wolf Spiders”</x:v>
      </x:c>
      <x:c r="C127" t="n">
        <x:v>4</x:v>
      </x:c>
      <x:c r="D127" t="str">
        <x:v>Clan</x:v>
      </x:c>
      <x:c r="E127" t="str">
        <x:v>Heavy ’Mech Binary</x:v>
      </x:c>
      <x:c r="F127" t="n">
        <x:v>1</x:v>
      </x:c>
      <x:c r="G127" t="str">
        <x:v>Heavy</x:v>
      </x:c>
      <x:c r="H127" t="str">
        <x:v>Binary</x:v>
      </x:c>
      <x:c r="I127" t="str">
        <x:v>Heavy Trinary — Clan Formations</x:v>
      </x:c>
      <x:c r="J127" t="str">
        <x:v>Clan Heavy ’Mechs → rolled formation type</x:v>
      </x:c>
      <x:c r="K127" t="str">
        <x:v>Ready for formation roll</x:v>
      </x:c>
      <x:c r="L127"/>
    </x:row>
    <x:row r="128">
      <x:c r="A128" t="str">
        <x:v>Thirteenth Wolf Guard “The Wolf Spiders”|5</x:v>
      </x:c>
      <x:c r="B128" t="str">
        <x:v>Thirteenth Wolf Guard “The Wolf Spiders”</x:v>
      </x:c>
      <x:c r="C128" t="n">
        <x:v>5</x:v>
      </x:c>
      <x:c r="D128" t="str">
        <x:v>Clan</x:v>
      </x:c>
      <x:c r="E128" t="str">
        <x:v>Battle Armor Trinary</x:v>
      </x:c>
      <x:c r="F128" t="n">
        <x:v>1</x:v>
      </x:c>
      <x:c r="G128" t="str">
        <x:v>—</x:v>
      </x:c>
      <x:c r="H128" t="str">
        <x:v>Battle Armor</x:v>
      </x:c>
      <x:c r="I128" t="str">
        <x:v>Deferred — outside current ’Mech scope</x:v>
      </x:c>
      <x:c r="J128" t="str">
        <x:v>None</x:v>
      </x:c>
      <x:c r="K128" t="str">
        <x:v>Deferred</x:v>
      </x:c>
      <x:c r="L128" t="str">
        <x:v>Recorded as its own component; not generated in the current ’Mech-only stage.</x:v>
      </x:c>
    </x:row>
    <x:row r="129">
      <x:c r="A129" t="str">
        <x:v>Thirteenth Wolf Guard “The Wolf Spiders”|6</x:v>
      </x:c>
      <x:c r="B129" t="str">
        <x:v>Thirteenth Wolf Guard “The Wolf Spiders”</x:v>
      </x:c>
      <x:c r="C129" t="n">
        <x:v>6</x:v>
      </x:c>
      <x:c r="D129" t="str">
        <x:v>Clan</x:v>
      </x:c>
      <x:c r="E129" t="str">
        <x:v>Aerospace Binary</x:v>
      </x:c>
      <x:c r="F129" t="n">
        <x:v>1</x:v>
      </x:c>
      <x:c r="G129" t="str">
        <x:v>—</x:v>
      </x:c>
      <x:c r="H129" t="str">
        <x:v>Aerospace</x:v>
      </x:c>
      <x:c r="I129" t="str">
        <x:v>Deferred — outside current ’Mech scope</x:v>
      </x:c>
      <x:c r="J129" t="str">
        <x:v>None</x:v>
      </x:c>
      <x:c r="K129" t="str">
        <x:v>Deferred</x:v>
      </x:c>
      <x:c r="L129" t="str">
        <x:v>Recorded as its own component; not generated in the current ’Mech-only stage.</x:v>
      </x:c>
    </x:row>
    <x:row r="130">
      <x:c r="A130" t="str">
        <x:v>Thirteenth Wolf Guard “The Wolf Spiders”|7</x:v>
      </x:c>
      <x:c r="B130" t="str">
        <x:v>Thirteenth Wolf Guard “The Wolf Spiders”</x:v>
      </x:c>
      <x:c r="C130" t="n">
        <x:v>7</x:v>
      </x:c>
      <x:c r="D130" t="str">
        <x:v>Clan</x:v>
      </x:c>
      <x:c r="E130" t="str">
        <x:v>Command Star</x:v>
      </x:c>
      <x:c r="F130" t="n">
        <x:v>1</x:v>
      </x:c>
      <x:c r="G130" t="str">
        <x:v>Rolled</x:v>
      </x:c>
      <x:c r="H130" t="str">
        <x:v>Star</x:v>
      </x:c>
      <x:c r="I130" t="str">
        <x:v>Star Formation Type — Clan Formations</x:v>
      </x:c>
      <x:c r="J130" t="str">
        <x:v>Clan rolled-weight ’Mechs → rolled formation type</x:v>
      </x:c>
      <x:c r="K130" t="str">
        <x:v>Ready for formation roll</x:v>
      </x:c>
      <x:c r="L130"/>
    </x:row>
    <x:row r="131">
      <x:c r="A131" t="str">
        <x:v>352nd Assault Cluster “The Silver Wolves”|1</x:v>
      </x:c>
      <x:c r="B131" t="str">
        <x:v>352nd Assault Cluster “The Silver Wolves”</x:v>
      </x:c>
      <x:c r="C131" t="n">
        <x:v>1</x:v>
      </x:c>
      <x:c r="D131" t="str">
        <x:v>Clan</x:v>
      </x:c>
      <x:c r="E131" t="str">
        <x:v>Heavy ’Mech Trinary</x:v>
      </x:c>
      <x:c r="F131" t="n">
        <x:v>1</x:v>
      </x:c>
      <x:c r="G131" t="str">
        <x:v>Heavy</x:v>
      </x:c>
      <x:c r="H131" t="str">
        <x:v>Trinary</x:v>
      </x:c>
      <x:c r="I131" t="str">
        <x:v>Heavy Trinary — Clan Formations</x:v>
      </x:c>
      <x:c r="J131" t="str">
        <x:v>Clan Heavy ’Mechs → rolled formation type</x:v>
      </x:c>
      <x:c r="K131" t="str">
        <x:v>Ready for formation roll</x:v>
      </x:c>
      <x:c r="L131"/>
    </x:row>
    <x:row r="132">
      <x:c r="A132" t="str">
        <x:v>352nd Assault Cluster “The Silver Wolves”|2</x:v>
      </x:c>
      <x:c r="B132" t="str">
        <x:v>352nd Assault Cluster “The Silver Wolves”</x:v>
      </x:c>
      <x:c r="C132" t="n">
        <x:v>2</x:v>
      </x:c>
      <x:c r="D132" t="str">
        <x:v>Clan</x:v>
      </x:c>
      <x:c r="E132" t="str">
        <x:v>Heavy ’Mech Trinary</x:v>
      </x:c>
      <x:c r="F132" t="n">
        <x:v>1</x:v>
      </x:c>
      <x:c r="G132" t="str">
        <x:v>Heavy</x:v>
      </x:c>
      <x:c r="H132" t="str">
        <x:v>Trinary</x:v>
      </x:c>
      <x:c r="I132" t="str">
        <x:v>Heavy Trinary — Clan Formations</x:v>
      </x:c>
      <x:c r="J132" t="str">
        <x:v>Clan Heavy ’Mechs → rolled formation type</x:v>
      </x:c>
      <x:c r="K132" t="str">
        <x:v>Ready for formation roll</x:v>
      </x:c>
      <x:c r="L132"/>
    </x:row>
    <x:row r="133">
      <x:c r="A133" t="str">
        <x:v>352nd Assault Cluster “The Silver Wolves”|3</x:v>
      </x:c>
      <x:c r="B133" t="str">
        <x:v>352nd Assault Cluster “The Silver Wolves”</x:v>
      </x:c>
      <x:c r="C133" t="n">
        <x:v>3</x:v>
      </x:c>
      <x:c r="D133" t="str">
        <x:v>Clan</x:v>
      </x:c>
      <x:c r="E133" t="str">
        <x:v>Heavy ’Mech Trinary</x:v>
      </x:c>
      <x:c r="F133" t="n">
        <x:v>1</x:v>
      </x:c>
      <x:c r="G133" t="str">
        <x:v>Heavy</x:v>
      </x:c>
      <x:c r="H133" t="str">
        <x:v>Trinary</x:v>
      </x:c>
      <x:c r="I133" t="str">
        <x:v>Heavy Trinary — Clan Formations</x:v>
      </x:c>
      <x:c r="J133" t="str">
        <x:v>Clan Heavy ’Mechs → rolled formation type</x:v>
      </x:c>
      <x:c r="K133" t="str">
        <x:v>Ready for formation roll</x:v>
      </x:c>
      <x:c r="L133"/>
    </x:row>
    <x:row r="134">
      <x:c r="A134" t="str">
        <x:v>352nd Assault Cluster “The Silver Wolves”|4</x:v>
      </x:c>
      <x:c r="B134" t="str">
        <x:v>352nd Assault Cluster “The Silver Wolves”</x:v>
      </x:c>
      <x:c r="C134" t="n">
        <x:v>4</x:v>
      </x:c>
      <x:c r="D134" t="str">
        <x:v>Clan</x:v>
      </x:c>
      <x:c r="E134" t="str">
        <x:v>Heavy ’Mech Trinary</x:v>
      </x:c>
      <x:c r="F134" t="n">
        <x:v>1</x:v>
      </x:c>
      <x:c r="G134" t="str">
        <x:v>Heavy</x:v>
      </x:c>
      <x:c r="H134" t="str">
        <x:v>Trinary</x:v>
      </x:c>
      <x:c r="I134" t="str">
        <x:v>Heavy Trinary — Clan Formations</x:v>
      </x:c>
      <x:c r="J134" t="str">
        <x:v>Clan Heavy ’Mechs → rolled formation type</x:v>
      </x:c>
      <x:c r="K134" t="str">
        <x:v>Ready for formation roll</x:v>
      </x:c>
      <x:c r="L134"/>
    </x:row>
    <x:row r="135">
      <x:c r="A135" t="str">
        <x:v>352nd Assault Cluster “The Silver Wolves”|5</x:v>
      </x:c>
      <x:c r="B135" t="str">
        <x:v>352nd Assault Cluster “The Silver Wolves”</x:v>
      </x:c>
      <x:c r="C135" t="n">
        <x:v>5</x:v>
      </x:c>
      <x:c r="D135" t="str">
        <x:v>Clan</x:v>
      </x:c>
      <x:c r="E135" t="str">
        <x:v>Battle Armor Binary</x:v>
      </x:c>
      <x:c r="F135" t="n">
        <x:v>1</x:v>
      </x:c>
      <x:c r="G135" t="str">
        <x:v>—</x:v>
      </x:c>
      <x:c r="H135" t="str">
        <x:v>Battle Armor</x:v>
      </x:c>
      <x:c r="I135" t="str">
        <x:v>Deferred — outside current ’Mech scope</x:v>
      </x:c>
      <x:c r="J135" t="str">
        <x:v>None</x:v>
      </x:c>
      <x:c r="K135" t="str">
        <x:v>Deferred</x:v>
      </x:c>
      <x:c r="L135" t="str">
        <x:v>Recorded as its own component; not generated in the current ’Mech-only stage.</x:v>
      </x:c>
    </x:row>
    <x:row r="136">
      <x:c r="A136" t="str">
        <x:v>352nd Assault Cluster “The Silver Wolves”|6</x:v>
      </x:c>
      <x:c r="B136" t="str">
        <x:v>352nd Assault Cluster “The Silver Wolves”</x:v>
      </x:c>
      <x:c r="C136" t="n">
        <x:v>6</x:v>
      </x:c>
      <x:c r="D136" t="str">
        <x:v>Clan</x:v>
      </x:c>
      <x:c r="E136" t="str">
        <x:v>Aerospace Star</x:v>
      </x:c>
      <x:c r="F136" t="n">
        <x:v>1</x:v>
      </x:c>
      <x:c r="G136" t="str">
        <x:v>—</x:v>
      </x:c>
      <x:c r="H136" t="str">
        <x:v>Aerospace</x:v>
      </x:c>
      <x:c r="I136" t="str">
        <x:v>Deferred — outside current ’Mech scope</x:v>
      </x:c>
      <x:c r="J136" t="str">
        <x:v>None</x:v>
      </x:c>
      <x:c r="K136" t="str">
        <x:v>Deferred</x:v>
      </x:c>
      <x:c r="L136" t="str">
        <x:v>Recorded as its own component; not generated in the current ’Mech-only stage.</x:v>
      </x:c>
    </x:row>
    <x:row r="137">
      <x:c r="A137" t="str">
        <x:v>Eleventh Battle Cluster “The Bronze Lancers”|1</x:v>
      </x:c>
      <x:c r="B137" t="str">
        <x:v>Eleventh Battle Cluster “The Bronze Lancers”</x:v>
      </x:c>
      <x:c r="C137" t="n">
        <x:v>1</x:v>
      </x:c>
      <x:c r="D137" t="str">
        <x:v>Clan</x:v>
      </x:c>
      <x:c r="E137" t="str">
        <x:v>Medium ’Mech Trinary</x:v>
      </x:c>
      <x:c r="F137" t="n">
        <x:v>1</x:v>
      </x:c>
      <x:c r="G137" t="str">
        <x:v>Medium</x:v>
      </x:c>
      <x:c r="H137" t="str">
        <x:v>Trinary</x:v>
      </x:c>
      <x:c r="I137" t="str">
        <x:v>Medium Trinary — Clan Formations</x:v>
      </x:c>
      <x:c r="J137" t="str">
        <x:v>Clan Medium ’Mechs → rolled formation type</x:v>
      </x:c>
      <x:c r="K137" t="str">
        <x:v>Ready for formation roll</x:v>
      </x:c>
      <x:c r="L137"/>
    </x:row>
    <x:row r="138">
      <x:c r="A138" t="str">
        <x:v>Eleventh Battle Cluster “The Bronze Lancers”|2</x:v>
      </x:c>
      <x:c r="B138" t="str">
        <x:v>Eleventh Battle Cluster “The Bronze Lancers”</x:v>
      </x:c>
      <x:c r="C138" t="n">
        <x:v>2</x:v>
      </x:c>
      <x:c r="D138" t="str">
        <x:v>Clan</x:v>
      </x:c>
      <x:c r="E138" t="str">
        <x:v>Medium ’Mech Trinary</x:v>
      </x:c>
      <x:c r="F138" t="n">
        <x:v>1</x:v>
      </x:c>
      <x:c r="G138" t="str">
        <x:v>Medium</x:v>
      </x:c>
      <x:c r="H138" t="str">
        <x:v>Trinary</x:v>
      </x:c>
      <x:c r="I138" t="str">
        <x:v>Medium Trinary — Clan Formations</x:v>
      </x:c>
      <x:c r="J138" t="str">
        <x:v>Clan Medium ’Mechs → rolled formation type</x:v>
      </x:c>
      <x:c r="K138" t="str">
        <x:v>Ready for formation roll</x:v>
      </x:c>
      <x:c r="L138"/>
    </x:row>
    <x:row r="139">
      <x:c r="A139" t="str">
        <x:v>Eleventh Battle Cluster “The Bronze Lancers”|3</x:v>
      </x:c>
      <x:c r="B139" t="str">
        <x:v>Eleventh Battle Cluster “The Bronze Lancers”</x:v>
      </x:c>
      <x:c r="C139" t="n">
        <x:v>3</x:v>
      </x:c>
      <x:c r="D139" t="str">
        <x:v>Clan</x:v>
      </x:c>
      <x:c r="E139" t="str">
        <x:v>Medium ’Mech Trinary</x:v>
      </x:c>
      <x:c r="F139" t="n">
        <x:v>1</x:v>
      </x:c>
      <x:c r="G139" t="str">
        <x:v>Medium</x:v>
      </x:c>
      <x:c r="H139" t="str">
        <x:v>Trinary</x:v>
      </x:c>
      <x:c r="I139" t="str">
        <x:v>Medium Trinary — Clan Formations</x:v>
      </x:c>
      <x:c r="J139" t="str">
        <x:v>Clan Medium ’Mechs → rolled formation type</x:v>
      </x:c>
      <x:c r="K139" t="str">
        <x:v>Ready for formation roll</x:v>
      </x:c>
      <x:c r="L139"/>
    </x:row>
    <x:row r="140">
      <x:c r="A140" t="str">
        <x:v>Eleventh Battle Cluster “The Bronze Lancers”|4</x:v>
      </x:c>
      <x:c r="B140" t="str">
        <x:v>Eleventh Battle Cluster “The Bronze Lancers”</x:v>
      </x:c>
      <x:c r="C140" t="n">
        <x:v>4</x:v>
      </x:c>
      <x:c r="D140" t="str">
        <x:v>Clan</x:v>
      </x:c>
      <x:c r="E140" t="str">
        <x:v>Medium ’Mech Trinary</x:v>
      </x:c>
      <x:c r="F140" t="n">
        <x:v>1</x:v>
      </x:c>
      <x:c r="G140" t="str">
        <x:v>Medium</x:v>
      </x:c>
      <x:c r="H140" t="str">
        <x:v>Trinary</x:v>
      </x:c>
      <x:c r="I140" t="str">
        <x:v>Medium Trinary — Clan Formations</x:v>
      </x:c>
      <x:c r="J140" t="str">
        <x:v>Clan Medium ’Mechs → rolled formation type</x:v>
      </x:c>
      <x:c r="K140" t="str">
        <x:v>Ready for formation roll</x:v>
      </x:c>
      <x:c r="L140"/>
    </x:row>
    <x:row r="141">
      <x:c r="A141" t="str">
        <x:v>Eleventh Battle Cluster “The Bronze Lancers”|5</x:v>
      </x:c>
      <x:c r="B141" t="str">
        <x:v>Eleventh Battle Cluster “The Bronze Lancers”</x:v>
      </x:c>
      <x:c r="C141" t="n">
        <x:v>5</x:v>
      </x:c>
      <x:c r="D141" t="str">
        <x:v>Clan</x:v>
      </x:c>
      <x:c r="E141" t="str">
        <x:v>Aerospace Trinary</x:v>
      </x:c>
      <x:c r="F141" t="n">
        <x:v>1</x:v>
      </x:c>
      <x:c r="G141" t="str">
        <x:v>—</x:v>
      </x:c>
      <x:c r="H141" t="str">
        <x:v>Aerospace</x:v>
      </x:c>
      <x:c r="I141" t="str">
        <x:v>Deferred — outside current ’Mech scope</x:v>
      </x:c>
      <x:c r="J141" t="str">
        <x:v>None</x:v>
      </x:c>
      <x:c r="K141" t="str">
        <x:v>Deferred</x:v>
      </x:c>
      <x:c r="L141" t="str">
        <x:v>Recorded as its own component; not generated in the current ’Mech-only stage.</x:v>
      </x:c>
    </x:row>
    <x:row r="142">
      <x:c r="A142" t="str">
        <x:v>Eleventh Wolf Guards Cluster “The Lightning Pack”|1</x:v>
      </x:c>
      <x:c r="B142" t="str">
        <x:v>Eleventh Wolf Guards Cluster “The Lightning Pack”</x:v>
      </x:c>
      <x:c r="C142" t="n">
        <x:v>1</x:v>
      </x:c>
      <x:c r="D142" t="str">
        <x:v>Clan</x:v>
      </x:c>
      <x:c r="E142" t="str">
        <x:v>Medium Supernova</x:v>
      </x:c>
      <x:c r="F142" t="n">
        <x:v>1</x:v>
      </x:c>
      <x:c r="G142" t="str">
        <x:v>Medium</x:v>
      </x:c>
      <x:c r="H142" t="str">
        <x:v>Supernova</x:v>
      </x:c>
      <x:c r="I142" t="str">
        <x:v>Medium Trinary — Clan Formations</x:v>
      </x:c>
      <x:c r="J142" t="str">
        <x:v>Clan Medium ’Mechs → rolled formation type</x:v>
      </x:c>
      <x:c r="K142" t="str">
        <x:v>Ready for formation roll</x:v>
      </x:c>
      <x:c r="L142" t="str">
        <x:v>Use the ’Mech portion only; attached Elementals remain deferred.</x:v>
      </x:c>
    </x:row>
    <x:row r="143">
      <x:c r="A143" t="str">
        <x:v>Eleventh Wolf Guards Cluster “The Lightning Pack”|2</x:v>
      </x:c>
      <x:c r="B143" t="str">
        <x:v>Eleventh Wolf Guards Cluster “The Lightning Pack”</x:v>
      </x:c>
      <x:c r="C143" t="n">
        <x:v>2</x:v>
      </x:c>
      <x:c r="D143" t="str">
        <x:v>Clan</x:v>
      </x:c>
      <x:c r="E143" t="str">
        <x:v>Medium ’Mech Trinary</x:v>
      </x:c>
      <x:c r="F143" t="n">
        <x:v>1</x:v>
      </x:c>
      <x:c r="G143" t="str">
        <x:v>Medium</x:v>
      </x:c>
      <x:c r="H143" t="str">
        <x:v>Trinary</x:v>
      </x:c>
      <x:c r="I143" t="str">
        <x:v>Medium Trinary — Clan Formations</x:v>
      </x:c>
      <x:c r="J143" t="str">
        <x:v>Clan Medium ’Mechs → rolled formation type</x:v>
      </x:c>
      <x:c r="K143" t="str">
        <x:v>Ready for formation roll</x:v>
      </x:c>
      <x:c r="L143"/>
    </x:row>
    <x:row r="144">
      <x:c r="A144" t="str">
        <x:v>Eleventh Wolf Guards Cluster “The Lightning Pack”|3</x:v>
      </x:c>
      <x:c r="B144" t="str">
        <x:v>Eleventh Wolf Guards Cluster “The Lightning Pack”</x:v>
      </x:c>
      <x:c r="C144" t="n">
        <x:v>3</x:v>
      </x:c>
      <x:c r="D144" t="str">
        <x:v>Clan</x:v>
      </x:c>
      <x:c r="E144" t="str">
        <x:v>Medium ’Mech Trinary</x:v>
      </x:c>
      <x:c r="F144" t="n">
        <x:v>1</x:v>
      </x:c>
      <x:c r="G144" t="str">
        <x:v>Medium</x:v>
      </x:c>
      <x:c r="H144" t="str">
        <x:v>Trinary</x:v>
      </x:c>
      <x:c r="I144" t="str">
        <x:v>Medium Trinary — Clan Formations</x:v>
      </x:c>
      <x:c r="J144" t="str">
        <x:v>Clan Medium ’Mechs → rolled formation type</x:v>
      </x:c>
      <x:c r="K144" t="str">
        <x:v>Ready for formation roll</x:v>
      </x:c>
      <x:c r="L144"/>
    </x:row>
    <x:row r="145">
      <x:c r="A145" t="str">
        <x:v>Eleventh Wolf Guards Cluster “The Lightning Pack”|4</x:v>
      </x:c>
      <x:c r="B145" t="str">
        <x:v>Eleventh Wolf Guards Cluster “The Lightning Pack”</x:v>
      </x:c>
      <x:c r="C145" t="n">
        <x:v>4</x:v>
      </x:c>
      <x:c r="D145" t="str">
        <x:v>Clan</x:v>
      </x:c>
      <x:c r="E145" t="str">
        <x:v>Medium ’Mech Trinary</x:v>
      </x:c>
      <x:c r="F145" t="n">
        <x:v>1</x:v>
      </x:c>
      <x:c r="G145" t="str">
        <x:v>Medium</x:v>
      </x:c>
      <x:c r="H145" t="str">
        <x:v>Trinary</x:v>
      </x:c>
      <x:c r="I145" t="str">
        <x:v>Medium Trinary — Clan Formations</x:v>
      </x:c>
      <x:c r="J145" t="str">
        <x:v>Clan Medium ’Mechs → rolled formation type</x:v>
      </x:c>
      <x:c r="K145" t="str">
        <x:v>Ready for formation roll</x:v>
      </x:c>
      <x:c r="L145"/>
    </x:row>
    <x:row r="146">
      <x:c r="A146" t="str">
        <x:v>Eleventh Wolf Guards Cluster “The Lightning Pack”|5</x:v>
      </x:c>
      <x:c r="B146" t="str">
        <x:v>Eleventh Wolf Guards Cluster “The Lightning Pack”</x:v>
      </x:c>
      <x:c r="C146" t="n">
        <x:v>5</x:v>
      </x:c>
      <x:c r="D146" t="str">
        <x:v>Clan</x:v>
      </x:c>
      <x:c r="E146" t="str">
        <x:v>Aerospace Trinary</x:v>
      </x:c>
      <x:c r="F146" t="n">
        <x:v>1</x:v>
      </x:c>
      <x:c r="G146" t="str">
        <x:v>—</x:v>
      </x:c>
      <x:c r="H146" t="str">
        <x:v>Aerospace</x:v>
      </x:c>
      <x:c r="I146" t="str">
        <x:v>Deferred — outside current ’Mech scope</x:v>
      </x:c>
      <x:c r="J146" t="str">
        <x:v>None</x:v>
      </x:c>
      <x:c r="K146" t="str">
        <x:v>Deferred</x:v>
      </x:c>
      <x:c r="L146" t="str">
        <x:v>Recorded as its own component; not generated in the current ’Mech-only stage.</x:v>
      </x:c>
    </x:row>
    <x:row r="147">
      <x:c r="A147" t="str">
        <x:v>401st Division “The White Eagles”|1</x:v>
      </x:c>
      <x:c r="B147" t="str">
        <x:v>401st Division “The White Eagles”</x:v>
      </x:c>
      <x:c r="C147" t="n">
        <x:v>1</x:v>
      </x:c>
      <x:c r="D147" t="str">
        <x:v>ComStar</x:v>
      </x:c>
      <x:c r="E147" t="str">
        <x:v>Partial ’Mech Level II (5 ’Mechs)</x:v>
      </x:c>
      <x:c r="F147" t="n">
        <x:v>1</x:v>
      </x:c>
      <x:c r="G147" t="str">
        <x:v>Chi</x:v>
      </x:c>
      <x:c r="H147" t="str">
        <x:v>Partial Level II</x:v>
      </x:c>
      <x:c r="I147" t="str">
        <x:v>ComStar Formations — designation and Level II guidance</x:v>
      </x:c>
      <x:c r="J147" t="str">
        <x:v>Level II weight → formation type → ComStar ’Mechs RAT</x:v>
      </x:c>
      <x:c r="K147" t="str">
        <x:v>Ready for Level II roll</x:v>
      </x:c>
      <x:c r="L147" t="str">
        <x:v>Chi suggests 5 ’Mechs total; this slot represents 5. Counts are contextual and FP/BV/PV remain the limits.</x:v>
      </x:c>
    </x:row>
    <x:row r="148">
      <x:c r="A148" t="str">
        <x:v>401st Division “The White Eagles”|2</x:v>
      </x:c>
      <x:c r="B148" t="str">
        <x:v>401st Division “The White Eagles”</x:v>
      </x:c>
      <x:c r="C148" t="n">
        <x:v>2</x:v>
      </x:c>
      <x:c r="D148" t="str">
        <x:v>ComStar</x:v>
      </x:c>
      <x:c r="E148" t="str">
        <x:v>Reserved for Combat Vehicles, Infantry, and Aerospace</x:v>
      </x:c>
      <x:c r="F148"/>
      <x:c r="G148" t="str">
        <x:v>Chi</x:v>
      </x:c>
      <x:c r="H148" t="str">
        <x:v>Support allocation</x:v>
      </x:c>
      <x:c r="I148" t="str">
        <x:v>ComStar designation composition — contextual guidance</x:v>
      </x:c>
      <x:c r="J148" t="str">
        <x:v>Not rolled in the current ’Mech stage</x:v>
      </x:c>
      <x:c r="K148" t="str">
        <x:v>Reserved — not rolled</x:v>
      </x:c>
      <x:c r="L148" t="str">
        <x:v>Chi guidance includes 8 combat vehicles, 17 infantry, and 6 aerospace.</x:v>
      </x:c>
    </x:row>
    <x:row r="149">
      <x:c r="A149" t="str">
        <x:v>401st Division “The White Eagles”|3</x:v>
      </x:c>
      <x:c r="B149" t="str">
        <x:v>401st Division “The White Eagles”</x:v>
      </x:c>
      <x:c r="C149" t="n">
        <x:v>3</x:v>
      </x:c>
      <x:c r="D149" t="str">
        <x:v>ComStar</x:v>
      </x:c>
      <x:c r="E149" t="str">
        <x:v>Reserved for Combat Vehicles, Infantry, and Aerospace</x:v>
      </x:c>
      <x:c r="F149"/>
      <x:c r="G149" t="str">
        <x:v>Chi</x:v>
      </x:c>
      <x:c r="H149" t="str">
        <x:v>Support allocation</x:v>
      </x:c>
      <x:c r="I149" t="str">
        <x:v>ComStar designation composition — contextual guidance</x:v>
      </x:c>
      <x:c r="J149" t="str">
        <x:v>Not rolled in the current ’Mech stage</x:v>
      </x:c>
      <x:c r="K149" t="str">
        <x:v>Reserved — not rolled</x:v>
      </x:c>
      <x:c r="L149" t="str">
        <x:v>Chi guidance includes 8 combat vehicles, 17 infantry, and 6 aerospace.</x:v>
      </x:c>
    </x:row>
    <x:row r="150">
      <x:c r="A150" t="str">
        <x:v>401st Division “The White Eagles”|4</x:v>
      </x:c>
      <x:c r="B150" t="str">
        <x:v>401st Division “The White Eagles”</x:v>
      </x:c>
      <x:c r="C150" t="n">
        <x:v>4</x:v>
      </x:c>
      <x:c r="D150" t="str">
        <x:v>ComStar</x:v>
      </x:c>
      <x:c r="E150" t="str">
        <x:v>Reserved for Combat Vehicles, Infantry, and Aerospace</x:v>
      </x:c>
      <x:c r="F150"/>
      <x:c r="G150" t="str">
        <x:v>Chi</x:v>
      </x:c>
      <x:c r="H150" t="str">
        <x:v>Support allocation</x:v>
      </x:c>
      <x:c r="I150" t="str">
        <x:v>ComStar designation composition — contextual guidance</x:v>
      </x:c>
      <x:c r="J150" t="str">
        <x:v>Not rolled in the current ’Mech stage</x:v>
      </x:c>
      <x:c r="K150" t="str">
        <x:v>Reserved — not rolled</x:v>
      </x:c>
      <x:c r="L150" t="str">
        <x:v>Chi guidance includes 8 combat vehicles, 17 infantry, and 6 aerospace.</x:v>
      </x:c>
    </x:row>
    <x:row r="151">
      <x:c r="A151" t="str">
        <x:v>401st Division “The White Eagles”|5</x:v>
      </x:c>
      <x:c r="B151" t="str">
        <x:v>401st Division “The White Eagles”</x:v>
      </x:c>
      <x:c r="C151" t="n">
        <x:v>5</x:v>
      </x:c>
      <x:c r="D151" t="str">
        <x:v>ComStar</x:v>
      </x:c>
      <x:c r="E151" t="str">
        <x:v>Reserved for Combat Vehicles, Infantry, and Aerospace</x:v>
      </x:c>
      <x:c r="F151"/>
      <x:c r="G151" t="str">
        <x:v>Chi</x:v>
      </x:c>
      <x:c r="H151" t="str">
        <x:v>Support allocation</x:v>
      </x:c>
      <x:c r="I151" t="str">
        <x:v>ComStar designation composition — contextual guidance</x:v>
      </x:c>
      <x:c r="J151" t="str">
        <x:v>Not rolled in the current ’Mech stage</x:v>
      </x:c>
      <x:c r="K151" t="str">
        <x:v>Reserved — not rolled</x:v>
      </x:c>
      <x:c r="L151" t="str">
        <x:v>Chi guidance includes 8 combat vehicles, 17 infantry, and 6 aerospace.</x:v>
      </x:c>
    </x:row>
    <x:row r="152">
      <x:c r="A152" t="str">
        <x:v>401st Division “The White Eagles”|6</x:v>
      </x:c>
      <x:c r="B152" t="str">
        <x:v>401st Division “The White Eagles”</x:v>
      </x:c>
      <x:c r="C152" t="n">
        <x:v>6</x:v>
      </x:c>
      <x:c r="D152" t="str">
        <x:v>ComStar</x:v>
      </x:c>
      <x:c r="E152" t="str">
        <x:v>Reserved for Combat Vehicles, Infantry, and Aerospace</x:v>
      </x:c>
      <x:c r="F152"/>
      <x:c r="G152" t="str">
        <x:v>Chi</x:v>
      </x:c>
      <x:c r="H152" t="str">
        <x:v>Support allocation</x:v>
      </x:c>
      <x:c r="I152" t="str">
        <x:v>ComStar designation composition — contextual guidance</x:v>
      </x:c>
      <x:c r="J152" t="str">
        <x:v>Not rolled in the current ’Mech stage</x:v>
      </x:c>
      <x:c r="K152" t="str">
        <x:v>Reserved — not rolled</x:v>
      </x:c>
      <x:c r="L152" t="str">
        <x:v>Chi guidance includes 8 combat vehicles, 17 infantry, and 6 aerospace.</x:v>
      </x:c>
    </x:row>
    <x:row r="153">
      <x:c r="A153" t="str">
        <x:v>207th Division “The Pounders”|1</x:v>
      </x:c>
      <x:c r="B153" t="str">
        <x:v>207th Division “The Pounders”</x:v>
      </x:c>
      <x:c r="C153" t="n">
        <x:v>1</x:v>
      </x:c>
      <x:c r="D153" t="str">
        <x:v>ComStar</x:v>
      </x:c>
      <x:c r="E153" t="str">
        <x:v>’Mech Level II (6 ’Mechs)</x:v>
      </x:c>
      <x:c r="F153" t="n">
        <x:v>1</x:v>
      </x:c>
      <x:c r="G153" t="str">
        <x:v>Omicron</x:v>
      </x:c>
      <x:c r="H153" t="str">
        <x:v>Level II</x:v>
      </x:c>
      <x:c r="I153" t="str">
        <x:v>ComStar Formations — designation and Level II guidance</x:v>
      </x:c>
      <x:c r="J153" t="str">
        <x:v>Level II weight → formation type → ComStar ’Mechs RAT</x:v>
      </x:c>
      <x:c r="K153" t="str">
        <x:v>Ready for Level II roll</x:v>
      </x:c>
      <x:c r="L153" t="str">
        <x:v>Omicron suggests 12 ’Mechs total; this slot represents 6. Counts are contextual and FP/BV/PV remain the limits.</x:v>
      </x:c>
    </x:row>
    <x:row r="154">
      <x:c r="A154" t="str">
        <x:v>207th Division “The Pounders”|2</x:v>
      </x:c>
      <x:c r="B154" t="str">
        <x:v>207th Division “The Pounders”</x:v>
      </x:c>
      <x:c r="C154" t="n">
        <x:v>2</x:v>
      </x:c>
      <x:c r="D154" t="str">
        <x:v>ComStar</x:v>
      </x:c>
      <x:c r="E154" t="str">
        <x:v>’Mech Level II (6 ’Mechs)</x:v>
      </x:c>
      <x:c r="F154" t="n">
        <x:v>1</x:v>
      </x:c>
      <x:c r="G154" t="str">
        <x:v>Omicron</x:v>
      </x:c>
      <x:c r="H154" t="str">
        <x:v>Level II</x:v>
      </x:c>
      <x:c r="I154" t="str">
        <x:v>ComStar Formations — designation and Level II guidance</x:v>
      </x:c>
      <x:c r="J154" t="str">
        <x:v>Level II weight → formation type → ComStar ’Mechs RAT</x:v>
      </x:c>
      <x:c r="K154" t="str">
        <x:v>Ready for Level II roll</x:v>
      </x:c>
      <x:c r="L154" t="str">
        <x:v>Omicron suggests 12 ’Mechs total; this slot represents 6. Counts are contextual and FP/BV/PV remain the limits.</x:v>
      </x:c>
    </x:row>
    <x:row r="155">
      <x:c r="A155" t="str">
        <x:v>207th Division “The Pounders”|3</x:v>
      </x:c>
      <x:c r="B155" t="str">
        <x:v>207th Division “The Pounders”</x:v>
      </x:c>
      <x:c r="C155" t="n">
        <x:v>3</x:v>
      </x:c>
      <x:c r="D155" t="str">
        <x:v>ComStar</x:v>
      </x:c>
      <x:c r="E155" t="str">
        <x:v>Reserved for Combat Vehicles, Infantry, and Aerospace</x:v>
      </x:c>
      <x:c r="F155"/>
      <x:c r="G155" t="str">
        <x:v>Omicron</x:v>
      </x:c>
      <x:c r="H155" t="str">
        <x:v>Support allocation</x:v>
      </x:c>
      <x:c r="I155" t="str">
        <x:v>ComStar designation composition — contextual guidance</x:v>
      </x:c>
      <x:c r="J155" t="str">
        <x:v>Not rolled in the current ’Mech stage</x:v>
      </x:c>
      <x:c r="K155" t="str">
        <x:v>Reserved — not rolled</x:v>
      </x:c>
      <x:c r="L155" t="str">
        <x:v>Omicron guidance includes 6 combat vehicles, 12 infantry, and 6 aerospace.</x:v>
      </x:c>
    </x:row>
    <x:row r="156">
      <x:c r="A156" t="str">
        <x:v>207th Division “The Pounders”|4</x:v>
      </x:c>
      <x:c r="B156" t="str">
        <x:v>207th Division “The Pounders”</x:v>
      </x:c>
      <x:c r="C156" t="n">
        <x:v>4</x:v>
      </x:c>
      <x:c r="D156" t="str">
        <x:v>ComStar</x:v>
      </x:c>
      <x:c r="E156" t="str">
        <x:v>Reserved for Combat Vehicles, Infantry, and Aerospace</x:v>
      </x:c>
      <x:c r="F156"/>
      <x:c r="G156" t="str">
        <x:v>Omicron</x:v>
      </x:c>
      <x:c r="H156" t="str">
        <x:v>Support allocation</x:v>
      </x:c>
      <x:c r="I156" t="str">
        <x:v>ComStar designation composition — contextual guidance</x:v>
      </x:c>
      <x:c r="J156" t="str">
        <x:v>Not rolled in the current ’Mech stage</x:v>
      </x:c>
      <x:c r="K156" t="str">
        <x:v>Reserved — not rolled</x:v>
      </x:c>
      <x:c r="L156" t="str">
        <x:v>Omicron guidance includes 6 combat vehicles, 12 infantry, and 6 aerospace.</x:v>
      </x:c>
    </x:row>
    <x:row r="157">
      <x:c r="A157" t="str">
        <x:v>207th Division “The Pounders”|5</x:v>
      </x:c>
      <x:c r="B157" t="str">
        <x:v>207th Division “The Pounders”</x:v>
      </x:c>
      <x:c r="C157" t="n">
        <x:v>5</x:v>
      </x:c>
      <x:c r="D157" t="str">
        <x:v>ComStar</x:v>
      </x:c>
      <x:c r="E157" t="str">
        <x:v>Reserved for Combat Vehicles, Infantry, and Aerospace</x:v>
      </x:c>
      <x:c r="F157"/>
      <x:c r="G157" t="str">
        <x:v>Omicron</x:v>
      </x:c>
      <x:c r="H157" t="str">
        <x:v>Support allocation</x:v>
      </x:c>
      <x:c r="I157" t="str">
        <x:v>ComStar designation composition — contextual guidance</x:v>
      </x:c>
      <x:c r="J157" t="str">
        <x:v>Not rolled in the current ’Mech stage</x:v>
      </x:c>
      <x:c r="K157" t="str">
        <x:v>Reserved — not rolled</x:v>
      </x:c>
      <x:c r="L157" t="str">
        <x:v>Omicron guidance includes 6 combat vehicles, 12 infantry, and 6 aerospace.</x:v>
      </x:c>
    </x:row>
    <x:row r="158">
      <x:c r="A158" t="str">
        <x:v>207th Division “The Pounders”|6</x:v>
      </x:c>
      <x:c r="B158" t="str">
        <x:v>207th Division “The Pounders”</x:v>
      </x:c>
      <x:c r="C158" t="n">
        <x:v>6</x:v>
      </x:c>
      <x:c r="D158" t="str">
        <x:v>ComStar</x:v>
      </x:c>
      <x:c r="E158" t="str">
        <x:v>Reserved for Combat Vehicles, Infantry, and Aerospace</x:v>
      </x:c>
      <x:c r="F158"/>
      <x:c r="G158" t="str">
        <x:v>Omicron</x:v>
      </x:c>
      <x:c r="H158" t="str">
        <x:v>Support allocation</x:v>
      </x:c>
      <x:c r="I158" t="str">
        <x:v>ComStar designation composition — contextual guidance</x:v>
      </x:c>
      <x:c r="J158" t="str">
        <x:v>Not rolled in the current ’Mech stage</x:v>
      </x:c>
      <x:c r="K158" t="str">
        <x:v>Reserved — not rolled</x:v>
      </x:c>
      <x:c r="L158" t="str">
        <x:v>Omicron guidance includes 6 combat vehicles, 12 infantry, and 6 aerospace.</x:v>
      </x:c>
    </x:row>
    <x:row r="159">
      <x:c r="A159" t="str">
        <x:v>323rd Division “Negative Communications”|1</x:v>
      </x:c>
      <x:c r="B159" t="str">
        <x:v>323rd Division “Negative Communications”</x:v>
      </x:c>
      <x:c r="C159" t="n">
        <x:v>1</x:v>
      </x:c>
      <x:c r="D159" t="str">
        <x:v>ComStar</x:v>
      </x:c>
      <x:c r="E159" t="str">
        <x:v>’Mech Level II (6 ’Mechs)</x:v>
      </x:c>
      <x:c r="F159" t="n">
        <x:v>1</x:v>
      </x:c>
      <x:c r="G159" t="str">
        <x:v>Theta</x:v>
      </x:c>
      <x:c r="H159" t="str">
        <x:v>Level II</x:v>
      </x:c>
      <x:c r="I159" t="str">
        <x:v>ComStar Formations — designation and Level II guidance</x:v>
      </x:c>
      <x:c r="J159" t="str">
        <x:v>Level II weight → formation type → ComStar ’Mechs RAT</x:v>
      </x:c>
      <x:c r="K159" t="str">
        <x:v>Ready for Level II roll</x:v>
      </x:c>
      <x:c r="L159" t="str">
        <x:v>Theta suggests 20 ’Mechs total; this slot represents 6. Counts are contextual and FP/BV/PV remain the limits.</x:v>
      </x:c>
    </x:row>
    <x:row r="160">
      <x:c r="A160" t="str">
        <x:v>323rd Division “Negative Communications”|2</x:v>
      </x:c>
      <x:c r="B160" t="str">
        <x:v>323rd Division “Negative Communications”</x:v>
      </x:c>
      <x:c r="C160" t="n">
        <x:v>2</x:v>
      </x:c>
      <x:c r="D160" t="str">
        <x:v>ComStar</x:v>
      </x:c>
      <x:c r="E160" t="str">
        <x:v>’Mech Level II (6 ’Mechs)</x:v>
      </x:c>
      <x:c r="F160" t="n">
        <x:v>1</x:v>
      </x:c>
      <x:c r="G160" t="str">
        <x:v>Theta</x:v>
      </x:c>
      <x:c r="H160" t="str">
        <x:v>Level II</x:v>
      </x:c>
      <x:c r="I160" t="str">
        <x:v>ComStar Formations — designation and Level II guidance</x:v>
      </x:c>
      <x:c r="J160" t="str">
        <x:v>Level II weight → formation type → ComStar ’Mechs RAT</x:v>
      </x:c>
      <x:c r="K160" t="str">
        <x:v>Ready for Level II roll</x:v>
      </x:c>
      <x:c r="L160" t="str">
        <x:v>Theta suggests 20 ’Mechs total; this slot represents 6. Counts are contextual and FP/BV/PV remain the limits.</x:v>
      </x:c>
    </x:row>
    <x:row r="161">
      <x:c r="A161" t="str">
        <x:v>323rd Division “Negative Communications”|3</x:v>
      </x:c>
      <x:c r="B161" t="str">
        <x:v>323rd Division “Negative Communications”</x:v>
      </x:c>
      <x:c r="C161" t="n">
        <x:v>3</x:v>
      </x:c>
      <x:c r="D161" t="str">
        <x:v>ComStar</x:v>
      </x:c>
      <x:c r="E161" t="str">
        <x:v>’Mech Level II (6 ’Mechs)</x:v>
      </x:c>
      <x:c r="F161" t="n">
        <x:v>1</x:v>
      </x:c>
      <x:c r="G161" t="str">
        <x:v>Theta</x:v>
      </x:c>
      <x:c r="H161" t="str">
        <x:v>Level II</x:v>
      </x:c>
      <x:c r="I161" t="str">
        <x:v>ComStar Formations — designation and Level II guidance</x:v>
      </x:c>
      <x:c r="J161" t="str">
        <x:v>Level II weight → formation type → ComStar ’Mechs RAT</x:v>
      </x:c>
      <x:c r="K161" t="str">
        <x:v>Ready for Level II roll</x:v>
      </x:c>
      <x:c r="L161" t="str">
        <x:v>Theta suggests 20 ’Mechs total; this slot represents 6. Counts are contextual and FP/BV/PV remain the limits.</x:v>
      </x:c>
    </x:row>
    <x:row r="162">
      <x:c r="A162" t="str">
        <x:v>323rd Division “Negative Communications”|4</x:v>
      </x:c>
      <x:c r="B162" t="str">
        <x:v>323rd Division “Negative Communications”</x:v>
      </x:c>
      <x:c r="C162" t="n">
        <x:v>4</x:v>
      </x:c>
      <x:c r="D162" t="str">
        <x:v>ComStar</x:v>
      </x:c>
      <x:c r="E162" t="str">
        <x:v>Partial ’Mech Level II (2 ’Mechs)</x:v>
      </x:c>
      <x:c r="F162" t="n">
        <x:v>1</x:v>
      </x:c>
      <x:c r="G162" t="str">
        <x:v>Theta</x:v>
      </x:c>
      <x:c r="H162" t="str">
        <x:v>Partial Level II</x:v>
      </x:c>
      <x:c r="I162" t="str">
        <x:v>ComStar Formations — designation and Level II guidance</x:v>
      </x:c>
      <x:c r="J162" t="str">
        <x:v>Level II weight → formation type → ComStar ’Mechs RAT</x:v>
      </x:c>
      <x:c r="K162" t="str">
        <x:v>Ready for Level II roll</x:v>
      </x:c>
      <x:c r="L162" t="str">
        <x:v>Theta suggests 20 ’Mechs total; this slot represents 2. Counts are contextual and FP/BV/PV remain the limits.</x:v>
      </x:c>
    </x:row>
    <x:row r="163">
      <x:c r="A163" t="str">
        <x:v>323rd Division “Negative Communications”|5</x:v>
      </x:c>
      <x:c r="B163" t="str">
        <x:v>323rd Division “Negative Communications”</x:v>
      </x:c>
      <x:c r="C163" t="n">
        <x:v>5</x:v>
      </x:c>
      <x:c r="D163" t="str">
        <x:v>ComStar</x:v>
      </x:c>
      <x:c r="E163" t="str">
        <x:v>Reserved for Combat Vehicles, Infantry, and Aerospace</x:v>
      </x:c>
      <x:c r="F163"/>
      <x:c r="G163" t="str">
        <x:v>Theta</x:v>
      </x:c>
      <x:c r="H163" t="str">
        <x:v>Support allocation</x:v>
      </x:c>
      <x:c r="I163" t="str">
        <x:v>ComStar designation composition — contextual guidance</x:v>
      </x:c>
      <x:c r="J163" t="str">
        <x:v>Not rolled in the current ’Mech stage</x:v>
      </x:c>
      <x:c r="K163" t="str">
        <x:v>Reserved — not rolled</x:v>
      </x:c>
      <x:c r="L163" t="str">
        <x:v>Theta guidance includes 3 combat vehicles, 7 infantry, and 6 aerospace.</x:v>
      </x:c>
    </x:row>
    <x:row r="164">
      <x:c r="A164" t="str">
        <x:v>323rd Division “Negative Communications”|6</x:v>
      </x:c>
      <x:c r="B164" t="str">
        <x:v>323rd Division “Negative Communications”</x:v>
      </x:c>
      <x:c r="C164" t="n">
        <x:v>6</x:v>
      </x:c>
      <x:c r="D164" t="str">
        <x:v>ComStar</x:v>
      </x:c>
      <x:c r="E164" t="str">
        <x:v>Reserved for Combat Vehicles, Infantry, and Aerospace</x:v>
      </x:c>
      <x:c r="F164"/>
      <x:c r="G164" t="str">
        <x:v>Theta</x:v>
      </x:c>
      <x:c r="H164" t="str">
        <x:v>Support allocation</x:v>
      </x:c>
      <x:c r="I164" t="str">
        <x:v>ComStar designation composition — contextual guidance</x:v>
      </x:c>
      <x:c r="J164" t="str">
        <x:v>Not rolled in the current ’Mech stage</x:v>
      </x:c>
      <x:c r="K164" t="str">
        <x:v>Reserved — not rolled</x:v>
      </x:c>
      <x:c r="L164" t="str">
        <x:v>Theta guidance includes 3 combat vehicles, 7 infantry, and 6 aerospace.</x:v>
      </x:c>
    </x:row>
    <x:row r="165">
      <x:c r="A165" t="str">
        <x:v>299th Division “Courtesy Through Thought”|1</x:v>
      </x:c>
      <x:c r="B165" t="str">
        <x:v>299th Division “Courtesy Through Thought”</x:v>
      </x:c>
      <x:c r="C165" t="n">
        <x:v>1</x:v>
      </x:c>
      <x:c r="D165" t="str">
        <x:v>ComStar</x:v>
      </x:c>
      <x:c r="E165" t="str">
        <x:v>’Mech Level II (6 ’Mechs)</x:v>
      </x:c>
      <x:c r="F165" t="n">
        <x:v>1</x:v>
      </x:c>
      <x:c r="G165" t="str">
        <x:v>Gamma</x:v>
      </x:c>
      <x:c r="H165" t="str">
        <x:v>Level II</x:v>
      </x:c>
      <x:c r="I165" t="str">
        <x:v>ComStar Formations — designation and Level II guidance</x:v>
      </x:c>
      <x:c r="J165" t="str">
        <x:v>Level II weight → formation type → ComStar ’Mechs RAT</x:v>
      </x:c>
      <x:c r="K165" t="str">
        <x:v>Ready for Level II roll</x:v>
      </x:c>
      <x:c r="L165" t="str">
        <x:v>Gamma suggests 26 ’Mechs total; this slot represents 6. Counts are contextual and FP/BV/PV remain the limits.</x:v>
      </x:c>
    </x:row>
    <x:row r="166">
      <x:c r="A166" t="str">
        <x:v>299th Division “Courtesy Through Thought”|2</x:v>
      </x:c>
      <x:c r="B166" t="str">
        <x:v>299th Division “Courtesy Through Thought”</x:v>
      </x:c>
      <x:c r="C166" t="n">
        <x:v>2</x:v>
      </x:c>
      <x:c r="D166" t="str">
        <x:v>ComStar</x:v>
      </x:c>
      <x:c r="E166" t="str">
        <x:v>’Mech Level II (6 ’Mechs)</x:v>
      </x:c>
      <x:c r="F166" t="n">
        <x:v>1</x:v>
      </x:c>
      <x:c r="G166" t="str">
        <x:v>Gamma</x:v>
      </x:c>
      <x:c r="H166" t="str">
        <x:v>Level II</x:v>
      </x:c>
      <x:c r="I166" t="str">
        <x:v>ComStar Formations — designation and Level II guidance</x:v>
      </x:c>
      <x:c r="J166" t="str">
        <x:v>Level II weight → formation type → ComStar ’Mechs RAT</x:v>
      </x:c>
      <x:c r="K166" t="str">
        <x:v>Ready for Level II roll</x:v>
      </x:c>
      <x:c r="L166" t="str">
        <x:v>Gamma suggests 26 ’Mechs total; this slot represents 6. Counts are contextual and FP/BV/PV remain the limits.</x:v>
      </x:c>
    </x:row>
    <x:row r="167">
      <x:c r="A167" t="str">
        <x:v>299th Division “Courtesy Through Thought”|3</x:v>
      </x:c>
      <x:c r="B167" t="str">
        <x:v>299th Division “Courtesy Through Thought”</x:v>
      </x:c>
      <x:c r="C167" t="n">
        <x:v>3</x:v>
      </x:c>
      <x:c r="D167" t="str">
        <x:v>ComStar</x:v>
      </x:c>
      <x:c r="E167" t="str">
        <x:v>’Mech Level II (6 ’Mechs)</x:v>
      </x:c>
      <x:c r="F167" t="n">
        <x:v>1</x:v>
      </x:c>
      <x:c r="G167" t="str">
        <x:v>Gamma</x:v>
      </x:c>
      <x:c r="H167" t="str">
        <x:v>Level II</x:v>
      </x:c>
      <x:c r="I167" t="str">
        <x:v>ComStar Formations — designation and Level II guidance</x:v>
      </x:c>
      <x:c r="J167" t="str">
        <x:v>Level II weight → formation type → ComStar ’Mechs RAT</x:v>
      </x:c>
      <x:c r="K167" t="str">
        <x:v>Ready for Level II roll</x:v>
      </x:c>
      <x:c r="L167" t="str">
        <x:v>Gamma suggests 26 ’Mechs total; this slot represents 6. Counts are contextual and FP/BV/PV remain the limits.</x:v>
      </x:c>
    </x:row>
    <x:row r="168">
      <x:c r="A168" t="str">
        <x:v>299th Division “Courtesy Through Thought”|4</x:v>
      </x:c>
      <x:c r="B168" t="str">
        <x:v>299th Division “Courtesy Through Thought”</x:v>
      </x:c>
      <x:c r="C168" t="n">
        <x:v>4</x:v>
      </x:c>
      <x:c r="D168" t="str">
        <x:v>ComStar</x:v>
      </x:c>
      <x:c r="E168" t="str">
        <x:v>’Mech Level II (6 ’Mechs)</x:v>
      </x:c>
      <x:c r="F168" t="n">
        <x:v>1</x:v>
      </x:c>
      <x:c r="G168" t="str">
        <x:v>Gamma</x:v>
      </x:c>
      <x:c r="H168" t="str">
        <x:v>Level II</x:v>
      </x:c>
      <x:c r="I168" t="str">
        <x:v>ComStar Formations — designation and Level II guidance</x:v>
      </x:c>
      <x:c r="J168" t="str">
        <x:v>Level II weight → formation type → ComStar ’Mechs RAT</x:v>
      </x:c>
      <x:c r="K168" t="str">
        <x:v>Ready for Level II roll</x:v>
      </x:c>
      <x:c r="L168" t="str">
        <x:v>Gamma suggests 26 ’Mechs total; this slot represents 6. Counts are contextual and FP/BV/PV remain the limits.</x:v>
      </x:c>
    </x:row>
    <x:row r="169">
      <x:c r="A169" t="str">
        <x:v>299th Division “Courtesy Through Thought”|5</x:v>
      </x:c>
      <x:c r="B169" t="str">
        <x:v>299th Division “Courtesy Through Thought”</x:v>
      </x:c>
      <x:c r="C169" t="n">
        <x:v>5</x:v>
      </x:c>
      <x:c r="D169" t="str">
        <x:v>ComStar</x:v>
      </x:c>
      <x:c r="E169" t="str">
        <x:v>Partial ’Mech Level II (2 ’Mechs)</x:v>
      </x:c>
      <x:c r="F169" t="n">
        <x:v>1</x:v>
      </x:c>
      <x:c r="G169" t="str">
        <x:v>Gamma</x:v>
      </x:c>
      <x:c r="H169" t="str">
        <x:v>Partial Level II</x:v>
      </x:c>
      <x:c r="I169" t="str">
        <x:v>ComStar Formations — designation and Level II guidance</x:v>
      </x:c>
      <x:c r="J169" t="str">
        <x:v>Level II weight → formation type → ComStar ’Mechs RAT</x:v>
      </x:c>
      <x:c r="K169" t="str">
        <x:v>Ready for Level II roll</x:v>
      </x:c>
      <x:c r="L169" t="str">
        <x:v>Gamma suggests 26 ’Mechs total; this slot represents 2. Counts are contextual and FP/BV/PV remain the limits.</x:v>
      </x:c>
    </x:row>
    <x:row r="170">
      <x:c r="A170" t="str">
        <x:v>299th Division “Courtesy Through Thought”|6</x:v>
      </x:c>
      <x:c r="B170" t="str">
        <x:v>299th Division “Courtesy Through Thought”</x:v>
      </x:c>
      <x:c r="C170" t="n">
        <x:v>6</x:v>
      </x:c>
      <x:c r="D170" t="str">
        <x:v>ComStar</x:v>
      </x:c>
      <x:c r="E170" t="str">
        <x:v>Reserved for Combat Vehicles, Infantry, and Aerospace</x:v>
      </x:c>
      <x:c r="F170"/>
      <x:c r="G170" t="str">
        <x:v>Gamma</x:v>
      </x:c>
      <x:c r="H170" t="str">
        <x:v>Support allocation</x:v>
      </x:c>
      <x:c r="I170" t="str">
        <x:v>ComStar designation composition — contextual guidance</x:v>
      </x:c>
      <x:c r="J170" t="str">
        <x:v>Not rolled in the current ’Mech stage</x:v>
      </x:c>
      <x:c r="K170" t="str">
        <x:v>Reserved — not rolled</x:v>
      </x:c>
      <x:c r="L170" t="str">
        <x:v>Gamma guidance includes 1 combat vehicles, 3 infantry, and 6 aerospace.</x:v>
      </x:c>
    </x:row>
    <x:row r="171">
      <x:c r="A171" t="str">
        <x:v>31st Division “Static Hurlers”|1</x:v>
      </x:c>
      <x:c r="B171" t="str">
        <x:v>31st Division “Static Hurlers”</x:v>
      </x:c>
      <x:c r="C171" t="n">
        <x:v>1</x:v>
      </x:c>
      <x:c r="D171" t="str">
        <x:v>ComStar</x:v>
      </x:c>
      <x:c r="E171" t="str">
        <x:v>’Mech Level II (6 ’Mechs)</x:v>
      </x:c>
      <x:c r="F171" t="n">
        <x:v>1</x:v>
      </x:c>
      <x:c r="G171" t="str">
        <x:v>Kappa</x:v>
      </x:c>
      <x:c r="H171" t="str">
        <x:v>Level II</x:v>
      </x:c>
      <x:c r="I171" t="str">
        <x:v>ComStar Formations — designation and Level II guidance</x:v>
      </x:c>
      <x:c r="J171" t="str">
        <x:v>Level II weight → formation type → ComStar ’Mechs RAT</x:v>
      </x:c>
      <x:c r="K171" t="str">
        <x:v>Ready for Level II roll</x:v>
      </x:c>
      <x:c r="L171" t="str">
        <x:v>Kappa suggests 18 ’Mechs total; this slot represents 6. Counts are contextual and FP/BV/PV remain the limits.</x:v>
      </x:c>
    </x:row>
    <x:row r="172">
      <x:c r="A172" t="str">
        <x:v>31st Division “Static Hurlers”|2</x:v>
      </x:c>
      <x:c r="B172" t="str">
        <x:v>31st Division “Static Hurlers”</x:v>
      </x:c>
      <x:c r="C172" t="n">
        <x:v>2</x:v>
      </x:c>
      <x:c r="D172" t="str">
        <x:v>ComStar</x:v>
      </x:c>
      <x:c r="E172" t="str">
        <x:v>’Mech Level II (6 ’Mechs)</x:v>
      </x:c>
      <x:c r="F172" t="n">
        <x:v>1</x:v>
      </x:c>
      <x:c r="G172" t="str">
        <x:v>Kappa</x:v>
      </x:c>
      <x:c r="H172" t="str">
        <x:v>Level II</x:v>
      </x:c>
      <x:c r="I172" t="str">
        <x:v>ComStar Formations — designation and Level II guidance</x:v>
      </x:c>
      <x:c r="J172" t="str">
        <x:v>Level II weight → formation type → ComStar ’Mechs RAT</x:v>
      </x:c>
      <x:c r="K172" t="str">
        <x:v>Ready for Level II roll</x:v>
      </x:c>
      <x:c r="L172" t="str">
        <x:v>Kappa suggests 18 ’Mechs total; this slot represents 6. Counts are contextual and FP/BV/PV remain the limits.</x:v>
      </x:c>
    </x:row>
    <x:row r="173">
      <x:c r="A173" t="str">
        <x:v>31st Division “Static Hurlers”|3</x:v>
      </x:c>
      <x:c r="B173" t="str">
        <x:v>31st Division “Static Hurlers”</x:v>
      </x:c>
      <x:c r="C173" t="n">
        <x:v>3</x:v>
      </x:c>
      <x:c r="D173" t="str">
        <x:v>ComStar</x:v>
      </x:c>
      <x:c r="E173" t="str">
        <x:v>’Mech Level II (6 ’Mechs)</x:v>
      </x:c>
      <x:c r="F173" t="n">
        <x:v>1</x:v>
      </x:c>
      <x:c r="G173" t="str">
        <x:v>Kappa</x:v>
      </x:c>
      <x:c r="H173" t="str">
        <x:v>Level II</x:v>
      </x:c>
      <x:c r="I173" t="str">
        <x:v>ComStar Formations — designation and Level II guidance</x:v>
      </x:c>
      <x:c r="J173" t="str">
        <x:v>Level II weight → formation type → ComStar ’Mechs RAT</x:v>
      </x:c>
      <x:c r="K173" t="str">
        <x:v>Ready for Level II roll</x:v>
      </x:c>
      <x:c r="L173" t="str">
        <x:v>Kappa suggests 18 ’Mechs total; this slot represents 6. Counts are contextual and FP/BV/PV remain the limits.</x:v>
      </x:c>
    </x:row>
    <x:row r="174">
      <x:c r="A174" t="str">
        <x:v>31st Division “Static Hurlers”|4</x:v>
      </x:c>
      <x:c r="B174" t="str">
        <x:v>31st Division “Static Hurlers”</x:v>
      </x:c>
      <x:c r="C174" t="n">
        <x:v>4</x:v>
      </x:c>
      <x:c r="D174" t="str">
        <x:v>ComStar</x:v>
      </x:c>
      <x:c r="E174" t="str">
        <x:v>Reserved for Combat Vehicles, Infantry, and Aerospace</x:v>
      </x:c>
      <x:c r="F174"/>
      <x:c r="G174" t="str">
        <x:v>Kappa</x:v>
      </x:c>
      <x:c r="H174" t="str">
        <x:v>Support allocation</x:v>
      </x:c>
      <x:c r="I174" t="str">
        <x:v>ComStar designation composition — contextual guidance</x:v>
      </x:c>
      <x:c r="J174" t="str">
        <x:v>Not rolled in the current ’Mech stage</x:v>
      </x:c>
      <x:c r="K174" t="str">
        <x:v>Reserved — not rolled</x:v>
      </x:c>
      <x:c r="L174" t="str">
        <x:v>Kappa guidance includes 4 combat vehicles, 8 infantry, and 6 aerospace.</x:v>
      </x:c>
    </x:row>
    <x:row r="175">
      <x:c r="A175" t="str">
        <x:v>31st Division “Static Hurlers”|5</x:v>
      </x:c>
      <x:c r="B175" t="str">
        <x:v>31st Division “Static Hurlers”</x:v>
      </x:c>
      <x:c r="C175" t="n">
        <x:v>5</x:v>
      </x:c>
      <x:c r="D175" t="str">
        <x:v>ComStar</x:v>
      </x:c>
      <x:c r="E175" t="str">
        <x:v>Reserved for Combat Vehicles, Infantry, and Aerospace</x:v>
      </x:c>
      <x:c r="F175"/>
      <x:c r="G175" t="str">
        <x:v>Kappa</x:v>
      </x:c>
      <x:c r="H175" t="str">
        <x:v>Support allocation</x:v>
      </x:c>
      <x:c r="I175" t="str">
        <x:v>ComStar designation composition — contextual guidance</x:v>
      </x:c>
      <x:c r="J175" t="str">
        <x:v>Not rolled in the current ’Mech stage</x:v>
      </x:c>
      <x:c r="K175" t="str">
        <x:v>Reserved — not rolled</x:v>
      </x:c>
      <x:c r="L175" t="str">
        <x:v>Kappa guidance includes 4 combat vehicles, 8 infantry, and 6 aerospace.</x:v>
      </x:c>
    </x:row>
    <x:row r="176">
      <x:c r="A176" t="str">
        <x:v>31st Division “Static Hurlers”|6</x:v>
      </x:c>
      <x:c r="B176" t="str">
        <x:v>31st Division “Static Hurlers”</x:v>
      </x:c>
      <x:c r="C176" t="n">
        <x:v>6</x:v>
      </x:c>
      <x:c r="D176" t="str">
        <x:v>ComStar</x:v>
      </x:c>
      <x:c r="E176" t="str">
        <x:v>Reserved for Combat Vehicles, Infantry, and Aerospace</x:v>
      </x:c>
      <x:c r="F176"/>
      <x:c r="G176" t="str">
        <x:v>Kappa</x:v>
      </x:c>
      <x:c r="H176" t="str">
        <x:v>Support allocation</x:v>
      </x:c>
      <x:c r="I176" t="str">
        <x:v>ComStar designation composition — contextual guidance</x:v>
      </x:c>
      <x:c r="J176" t="str">
        <x:v>Not rolled in the current ’Mech stage</x:v>
      </x:c>
      <x:c r="K176" t="str">
        <x:v>Reserved — not rolled</x:v>
      </x:c>
      <x:c r="L176" t="str">
        <x:v>Kappa guidance includes 4 combat vehicles, 8 infantry, and 6 aerospace.</x:v>
      </x:c>
    </x:row>
    <x:row r="177">
      <x:c r="A177" t="str">
        <x:v>56th Division “Eyes of ComStar”|1</x:v>
      </x:c>
      <x:c r="B177" t="str">
        <x:v>56th Division “Eyes of ComStar”</x:v>
      </x:c>
      <x:c r="C177" t="n">
        <x:v>1</x:v>
      </x:c>
      <x:c r="D177" t="str">
        <x:v>ComStar</x:v>
      </x:c>
      <x:c r="E177" t="str">
        <x:v>’Mech Level II (6 ’Mechs)</x:v>
      </x:c>
      <x:c r="F177" t="n">
        <x:v>1</x:v>
      </x:c>
      <x:c r="G177" t="str">
        <x:v>Upsilon</x:v>
      </x:c>
      <x:c r="H177" t="str">
        <x:v>Level II</x:v>
      </x:c>
      <x:c r="I177" t="str">
        <x:v>ComStar Formations — designation and Level II guidance</x:v>
      </x:c>
      <x:c r="J177" t="str">
        <x:v>Level II weight → formation type → ComStar ’Mechs RAT</x:v>
      </x:c>
      <x:c r="K177" t="str">
        <x:v>Ready for Level II roll</x:v>
      </x:c>
      <x:c r="L177" t="str">
        <x:v>Upsilon suggests 7 ’Mechs total; this slot represents 6. Counts are contextual and FP/BV/PV remain the limits.</x:v>
      </x:c>
    </x:row>
    <x:row r="178">
      <x:c r="A178" t="str">
        <x:v>56th Division “Eyes of ComStar”|2</x:v>
      </x:c>
      <x:c r="B178" t="str">
        <x:v>56th Division “Eyes of ComStar”</x:v>
      </x:c>
      <x:c r="C178" t="n">
        <x:v>2</x:v>
      </x:c>
      <x:c r="D178" t="str">
        <x:v>ComStar</x:v>
      </x:c>
      <x:c r="E178" t="str">
        <x:v>Partial ’Mech Level II (1 ’Mechs)</x:v>
      </x:c>
      <x:c r="F178" t="n">
        <x:v>1</x:v>
      </x:c>
      <x:c r="G178" t="str">
        <x:v>Upsilon</x:v>
      </x:c>
      <x:c r="H178" t="str">
        <x:v>Partial Level II</x:v>
      </x:c>
      <x:c r="I178" t="str">
        <x:v>ComStar Formations — designation and Level II guidance</x:v>
      </x:c>
      <x:c r="J178" t="str">
        <x:v>Level II weight → formation type → ComStar ’Mechs RAT</x:v>
      </x:c>
      <x:c r="K178" t="str">
        <x:v>Ready for Level II roll</x:v>
      </x:c>
      <x:c r="L178" t="str">
        <x:v>Upsilon suggests 7 ’Mechs total; this slot represents 1. Counts are contextual and FP/BV/PV remain the limits.</x:v>
      </x:c>
    </x:row>
    <x:row r="179">
      <x:c r="A179" t="str">
        <x:v>56th Division “Eyes of ComStar”|3</x:v>
      </x:c>
      <x:c r="B179" t="str">
        <x:v>56th Division “Eyes of ComStar”</x:v>
      </x:c>
      <x:c r="C179" t="n">
        <x:v>3</x:v>
      </x:c>
      <x:c r="D179" t="str">
        <x:v>ComStar</x:v>
      </x:c>
      <x:c r="E179" t="str">
        <x:v>Reserved for Combat Vehicles, Infantry, and Aerospace</x:v>
      </x:c>
      <x:c r="F179"/>
      <x:c r="G179" t="str">
        <x:v>Upsilon</x:v>
      </x:c>
      <x:c r="H179" t="str">
        <x:v>Support allocation</x:v>
      </x:c>
      <x:c r="I179" t="str">
        <x:v>ComStar designation composition — contextual guidance</x:v>
      </x:c>
      <x:c r="J179" t="str">
        <x:v>Not rolled in the current ’Mech stage</x:v>
      </x:c>
      <x:c r="K179" t="str">
        <x:v>Reserved — not rolled</x:v>
      </x:c>
      <x:c r="L179" t="str">
        <x:v>Upsilon guidance includes 8 combat vehicles, 15 infantry, and 6 aerospace.</x:v>
      </x:c>
    </x:row>
    <x:row r="180">
      <x:c r="A180" t="str">
        <x:v>56th Division “Eyes of ComStar”|4</x:v>
      </x:c>
      <x:c r="B180" t="str">
        <x:v>56th Division “Eyes of ComStar”</x:v>
      </x:c>
      <x:c r="C180" t="n">
        <x:v>4</x:v>
      </x:c>
      <x:c r="D180" t="str">
        <x:v>ComStar</x:v>
      </x:c>
      <x:c r="E180" t="str">
        <x:v>Reserved for Combat Vehicles, Infantry, and Aerospace</x:v>
      </x:c>
      <x:c r="F180"/>
      <x:c r="G180" t="str">
        <x:v>Upsilon</x:v>
      </x:c>
      <x:c r="H180" t="str">
        <x:v>Support allocation</x:v>
      </x:c>
      <x:c r="I180" t="str">
        <x:v>ComStar designation composition — contextual guidance</x:v>
      </x:c>
      <x:c r="J180" t="str">
        <x:v>Not rolled in the current ’Mech stage</x:v>
      </x:c>
      <x:c r="K180" t="str">
        <x:v>Reserved — not rolled</x:v>
      </x:c>
      <x:c r="L180" t="str">
        <x:v>Upsilon guidance includes 8 combat vehicles, 15 infantry, and 6 aerospace.</x:v>
      </x:c>
    </x:row>
    <x:row r="181">
      <x:c r="A181" t="str">
        <x:v>56th Division “Eyes of ComStar”|5</x:v>
      </x:c>
      <x:c r="B181" t="str">
        <x:v>56th Division “Eyes of ComStar”</x:v>
      </x:c>
      <x:c r="C181" t="n">
        <x:v>5</x:v>
      </x:c>
      <x:c r="D181" t="str">
        <x:v>ComStar</x:v>
      </x:c>
      <x:c r="E181" t="str">
        <x:v>Reserved for Combat Vehicles, Infantry, and Aerospace</x:v>
      </x:c>
      <x:c r="F181"/>
      <x:c r="G181" t="str">
        <x:v>Upsilon</x:v>
      </x:c>
      <x:c r="H181" t="str">
        <x:v>Support allocation</x:v>
      </x:c>
      <x:c r="I181" t="str">
        <x:v>ComStar designation composition — contextual guidance</x:v>
      </x:c>
      <x:c r="J181" t="str">
        <x:v>Not rolled in the current ’Mech stage</x:v>
      </x:c>
      <x:c r="K181" t="str">
        <x:v>Reserved — not rolled</x:v>
      </x:c>
      <x:c r="L181" t="str">
        <x:v>Upsilon guidance includes 8 combat vehicles, 15 infantry, and 6 aerospace.</x:v>
      </x:c>
    </x:row>
    <x:row r="182">
      <x:c r="A182" t="str">
        <x:v>56th Division “Eyes of ComStar”|6</x:v>
      </x:c>
      <x:c r="B182" t="str">
        <x:v>56th Division “Eyes of ComStar”</x:v>
      </x:c>
      <x:c r="C182" t="n">
        <x:v>6</x:v>
      </x:c>
      <x:c r="D182" t="str">
        <x:v>ComStar</x:v>
      </x:c>
      <x:c r="E182" t="str">
        <x:v>Reserved for Combat Vehicles, Infantry, and Aerospace</x:v>
      </x:c>
      <x:c r="F182"/>
      <x:c r="G182" t="str">
        <x:v>Upsilon</x:v>
      </x:c>
      <x:c r="H182" t="str">
        <x:v>Support allocation</x:v>
      </x:c>
      <x:c r="I182" t="str">
        <x:v>ComStar designation composition — contextual guidance</x:v>
      </x:c>
      <x:c r="J182" t="str">
        <x:v>Not rolled in the current ’Mech stage</x:v>
      </x:c>
      <x:c r="K182" t="str">
        <x:v>Reserved — not rolled</x:v>
      </x:c>
      <x:c r="L182" t="str">
        <x:v>Upsilon guidance includes 8 combat vehicles, 15 infantry, and 6 aerospace.</x:v>
      </x:c>
    </x:row>
    <x:row r="183">
      <x:c r="A183" t="str">
        <x:v>85th Division “Lions of the Periphery”|1</x:v>
      </x:c>
      <x:c r="B183" t="str">
        <x:v>85th Division “Lions of the Periphery”</x:v>
      </x:c>
      <x:c r="C183" t="n">
        <x:v>1</x:v>
      </x:c>
      <x:c r="D183" t="str">
        <x:v>ComStar</x:v>
      </x:c>
      <x:c r="E183" t="str">
        <x:v>’Mech Level II (6 ’Mechs)</x:v>
      </x:c>
      <x:c r="F183" t="n">
        <x:v>1</x:v>
      </x:c>
      <x:c r="G183" t="str">
        <x:v>Kappa</x:v>
      </x:c>
      <x:c r="H183" t="str">
        <x:v>Level II</x:v>
      </x:c>
      <x:c r="I183" t="str">
        <x:v>ComStar Formations — designation and Level II guidance</x:v>
      </x:c>
      <x:c r="J183" t="str">
        <x:v>Level II weight → formation type → ComStar ’Mechs RAT</x:v>
      </x:c>
      <x:c r="K183" t="str">
        <x:v>Ready for Level II roll</x:v>
      </x:c>
      <x:c r="L183" t="str">
        <x:v>Kappa suggests 18 ’Mechs total; this slot represents 6. Counts are contextual and FP/BV/PV remain the limits.</x:v>
      </x:c>
    </x:row>
    <x:row r="184">
      <x:c r="A184" t="str">
        <x:v>85th Division “Lions of the Periphery”|2</x:v>
      </x:c>
      <x:c r="B184" t="str">
        <x:v>85th Division “Lions of the Periphery”</x:v>
      </x:c>
      <x:c r="C184" t="n">
        <x:v>2</x:v>
      </x:c>
      <x:c r="D184" t="str">
        <x:v>ComStar</x:v>
      </x:c>
      <x:c r="E184" t="str">
        <x:v>’Mech Level II (6 ’Mechs)</x:v>
      </x:c>
      <x:c r="F184" t="n">
        <x:v>1</x:v>
      </x:c>
      <x:c r="G184" t="str">
        <x:v>Kappa</x:v>
      </x:c>
      <x:c r="H184" t="str">
        <x:v>Level II</x:v>
      </x:c>
      <x:c r="I184" t="str">
        <x:v>ComStar Formations — designation and Level II guidance</x:v>
      </x:c>
      <x:c r="J184" t="str">
        <x:v>Level II weight → formation type → ComStar ’Mechs RAT</x:v>
      </x:c>
      <x:c r="K184" t="str">
        <x:v>Ready for Level II roll</x:v>
      </x:c>
      <x:c r="L184" t="str">
        <x:v>Kappa suggests 18 ’Mechs total; this slot represents 6. Counts are contextual and FP/BV/PV remain the limits.</x:v>
      </x:c>
    </x:row>
    <x:row r="185">
      <x:c r="A185" t="str">
        <x:v>85th Division “Lions of the Periphery”|3</x:v>
      </x:c>
      <x:c r="B185" t="str">
        <x:v>85th Division “Lions of the Periphery”</x:v>
      </x:c>
      <x:c r="C185" t="n">
        <x:v>3</x:v>
      </x:c>
      <x:c r="D185" t="str">
        <x:v>ComStar</x:v>
      </x:c>
      <x:c r="E185" t="str">
        <x:v>’Mech Level II (6 ’Mechs)</x:v>
      </x:c>
      <x:c r="F185" t="n">
        <x:v>1</x:v>
      </x:c>
      <x:c r="G185" t="str">
        <x:v>Kappa</x:v>
      </x:c>
      <x:c r="H185" t="str">
        <x:v>Level II</x:v>
      </x:c>
      <x:c r="I185" t="str">
        <x:v>ComStar Formations — designation and Level II guidance</x:v>
      </x:c>
      <x:c r="J185" t="str">
        <x:v>Level II weight → formation type → ComStar ’Mechs RAT</x:v>
      </x:c>
      <x:c r="K185" t="str">
        <x:v>Ready for Level II roll</x:v>
      </x:c>
      <x:c r="L185" t="str">
        <x:v>Kappa suggests 18 ’Mechs total; this slot represents 6. Counts are contextual and FP/BV/PV remain the limits.</x:v>
      </x:c>
    </x:row>
    <x:row r="186">
      <x:c r="A186" t="str">
        <x:v>85th Division “Lions of the Periphery”|4</x:v>
      </x:c>
      <x:c r="B186" t="str">
        <x:v>85th Division “Lions of the Periphery”</x:v>
      </x:c>
      <x:c r="C186" t="n">
        <x:v>4</x:v>
      </x:c>
      <x:c r="D186" t="str">
        <x:v>ComStar</x:v>
      </x:c>
      <x:c r="E186" t="str">
        <x:v>Reserved for Combat Vehicles, Infantry, and Aerospace</x:v>
      </x:c>
      <x:c r="F186"/>
      <x:c r="G186" t="str">
        <x:v>Kappa</x:v>
      </x:c>
      <x:c r="H186" t="str">
        <x:v>Support allocation</x:v>
      </x:c>
      <x:c r="I186" t="str">
        <x:v>ComStar designation composition — contextual guidance</x:v>
      </x:c>
      <x:c r="J186" t="str">
        <x:v>Not rolled in the current ’Mech stage</x:v>
      </x:c>
      <x:c r="K186" t="str">
        <x:v>Reserved — not rolled</x:v>
      </x:c>
      <x:c r="L186" t="str">
        <x:v>Kappa guidance includes 4 combat vehicles, 8 infantry, and 6 aerospace.</x:v>
      </x:c>
    </x:row>
    <x:row r="187">
      <x:c r="A187" t="str">
        <x:v>85th Division “Lions of the Periphery”|5</x:v>
      </x:c>
      <x:c r="B187" t="str">
        <x:v>85th Division “Lions of the Periphery”</x:v>
      </x:c>
      <x:c r="C187" t="n">
        <x:v>5</x:v>
      </x:c>
      <x:c r="D187" t="str">
        <x:v>ComStar</x:v>
      </x:c>
      <x:c r="E187" t="str">
        <x:v>Reserved for Combat Vehicles, Infantry, and Aerospace</x:v>
      </x:c>
      <x:c r="F187"/>
      <x:c r="G187" t="str">
        <x:v>Kappa</x:v>
      </x:c>
      <x:c r="H187" t="str">
        <x:v>Support allocation</x:v>
      </x:c>
      <x:c r="I187" t="str">
        <x:v>ComStar designation composition — contextual guidance</x:v>
      </x:c>
      <x:c r="J187" t="str">
        <x:v>Not rolled in the current ’Mech stage</x:v>
      </x:c>
      <x:c r="K187" t="str">
        <x:v>Reserved — not rolled</x:v>
      </x:c>
      <x:c r="L187" t="str">
        <x:v>Kappa guidance includes 4 combat vehicles, 8 infantry, and 6 aerospace.</x:v>
      </x:c>
    </x:row>
    <x:row r="188">
      <x:c r="A188" t="str">
        <x:v>85th Division “Lions of the Periphery”|6</x:v>
      </x:c>
      <x:c r="B188" t="str">
        <x:v>85th Division “Lions of the Periphery”</x:v>
      </x:c>
      <x:c r="C188" t="n">
        <x:v>6</x:v>
      </x:c>
      <x:c r="D188" t="str">
        <x:v>ComStar</x:v>
      </x:c>
      <x:c r="E188" t="str">
        <x:v>Reserved for Combat Vehicles, Infantry, and Aerospace</x:v>
      </x:c>
      <x:c r="F188"/>
      <x:c r="G188" t="str">
        <x:v>Kappa</x:v>
      </x:c>
      <x:c r="H188" t="str">
        <x:v>Support allocation</x:v>
      </x:c>
      <x:c r="I188" t="str">
        <x:v>ComStar designation composition — contextual guidance</x:v>
      </x:c>
      <x:c r="J188" t="str">
        <x:v>Not rolled in the current ’Mech stage</x:v>
      </x:c>
      <x:c r="K188" t="str">
        <x:v>Reserved — not rolled</x:v>
      </x:c>
      <x:c r="L188" t="str">
        <x:v>Kappa guidance includes 4 combat vehicles, 8 infantry, and 6 aerospace.</x:v>
      </x:c>
    </x:row>
    <x:row r="189">
      <x:c r="A189" t="str">
        <x:v>182nd Division “Standing Waves”|1</x:v>
      </x:c>
      <x:c r="B189" t="str">
        <x:v>182nd Division “Standing Waves”</x:v>
      </x:c>
      <x:c r="C189" t="n">
        <x:v>1</x:v>
      </x:c>
      <x:c r="D189" t="str">
        <x:v>ComStar</x:v>
      </x:c>
      <x:c r="E189" t="str">
        <x:v>’Mech Level II (6 ’Mechs)</x:v>
      </x:c>
      <x:c r="F189" t="n">
        <x:v>1</x:v>
      </x:c>
      <x:c r="G189" t="str">
        <x:v>Zeta</x:v>
      </x:c>
      <x:c r="H189" t="str">
        <x:v>Level II</x:v>
      </x:c>
      <x:c r="I189" t="str">
        <x:v>ComStar Formations — designation and Level II guidance</x:v>
      </x:c>
      <x:c r="J189" t="str">
        <x:v>Level II weight → formation type → ComStar ’Mechs RAT</x:v>
      </x:c>
      <x:c r="K189" t="str">
        <x:v>Ready for Level II roll</x:v>
      </x:c>
      <x:c r="L189" t="str">
        <x:v>Zeta suggests 23 ’Mechs total; this slot represents 6. Counts are contextual and FP/BV/PV remain the limits.</x:v>
      </x:c>
    </x:row>
    <x:row r="190">
      <x:c r="A190" t="str">
        <x:v>182nd Division “Standing Waves”|2</x:v>
      </x:c>
      <x:c r="B190" t="str">
        <x:v>182nd Division “Standing Waves”</x:v>
      </x:c>
      <x:c r="C190" t="n">
        <x:v>2</x:v>
      </x:c>
      <x:c r="D190" t="str">
        <x:v>ComStar</x:v>
      </x:c>
      <x:c r="E190" t="str">
        <x:v>’Mech Level II (6 ’Mechs)</x:v>
      </x:c>
      <x:c r="F190" t="n">
        <x:v>1</x:v>
      </x:c>
      <x:c r="G190" t="str">
        <x:v>Zeta</x:v>
      </x:c>
      <x:c r="H190" t="str">
        <x:v>Level II</x:v>
      </x:c>
      <x:c r="I190" t="str">
        <x:v>ComStar Formations — designation and Level II guidance</x:v>
      </x:c>
      <x:c r="J190" t="str">
        <x:v>Level II weight → formation type → ComStar ’Mechs RAT</x:v>
      </x:c>
      <x:c r="K190" t="str">
        <x:v>Ready for Level II roll</x:v>
      </x:c>
      <x:c r="L190" t="str">
        <x:v>Zeta suggests 23 ’Mechs total; this slot represents 6. Counts are contextual and FP/BV/PV remain the limits.</x:v>
      </x:c>
    </x:row>
    <x:row r="191">
      <x:c r="A191" t="str">
        <x:v>182nd Division “Standing Waves”|3</x:v>
      </x:c>
      <x:c r="B191" t="str">
        <x:v>182nd Division “Standing Waves”</x:v>
      </x:c>
      <x:c r="C191" t="n">
        <x:v>3</x:v>
      </x:c>
      <x:c r="D191" t="str">
        <x:v>ComStar</x:v>
      </x:c>
      <x:c r="E191" t="str">
        <x:v>’Mech Level II (6 ’Mechs)</x:v>
      </x:c>
      <x:c r="F191" t="n">
        <x:v>1</x:v>
      </x:c>
      <x:c r="G191" t="str">
        <x:v>Zeta</x:v>
      </x:c>
      <x:c r="H191" t="str">
        <x:v>Level II</x:v>
      </x:c>
      <x:c r="I191" t="str">
        <x:v>ComStar Formations — designation and Level II guidance</x:v>
      </x:c>
      <x:c r="J191" t="str">
        <x:v>Level II weight → formation type → ComStar ’Mechs RAT</x:v>
      </x:c>
      <x:c r="K191" t="str">
        <x:v>Ready for Level II roll</x:v>
      </x:c>
      <x:c r="L191" t="str">
        <x:v>Zeta suggests 23 ’Mechs total; this slot represents 6. Counts are contextual and FP/BV/PV remain the limits.</x:v>
      </x:c>
    </x:row>
    <x:row r="192">
      <x:c r="A192" t="str">
        <x:v>182nd Division “Standing Waves”|4</x:v>
      </x:c>
      <x:c r="B192" t="str">
        <x:v>182nd Division “Standing Waves”</x:v>
      </x:c>
      <x:c r="C192" t="n">
        <x:v>4</x:v>
      </x:c>
      <x:c r="D192" t="str">
        <x:v>ComStar</x:v>
      </x:c>
      <x:c r="E192" t="str">
        <x:v>Partial ’Mech Level II (5 ’Mechs)</x:v>
      </x:c>
      <x:c r="F192" t="n">
        <x:v>1</x:v>
      </x:c>
      <x:c r="G192" t="str">
        <x:v>Zeta</x:v>
      </x:c>
      <x:c r="H192" t="str">
        <x:v>Partial Level II</x:v>
      </x:c>
      <x:c r="I192" t="str">
        <x:v>ComStar Formations — designation and Level II guidance</x:v>
      </x:c>
      <x:c r="J192" t="str">
        <x:v>Level II weight → formation type → ComStar ’Mechs RAT</x:v>
      </x:c>
      <x:c r="K192" t="str">
        <x:v>Ready for Level II roll</x:v>
      </x:c>
      <x:c r="L192" t="str">
        <x:v>Zeta suggests 23 ’Mechs total; this slot represents 5. Counts are contextual and FP/BV/PV remain the limits.</x:v>
      </x:c>
    </x:row>
    <x:row r="193">
      <x:c r="A193" t="str">
        <x:v>182nd Division “Standing Waves”|5</x:v>
      </x:c>
      <x:c r="B193" t="str">
        <x:v>182nd Division “Standing Waves”</x:v>
      </x:c>
      <x:c r="C193" t="n">
        <x:v>5</x:v>
      </x:c>
      <x:c r="D193" t="str">
        <x:v>ComStar</x:v>
      </x:c>
      <x:c r="E193" t="str">
        <x:v>Reserved for Combat Vehicles, Infantry, and Aerospace</x:v>
      </x:c>
      <x:c r="F193"/>
      <x:c r="G193" t="str">
        <x:v>Zeta</x:v>
      </x:c>
      <x:c r="H193" t="str">
        <x:v>Support allocation</x:v>
      </x:c>
      <x:c r="I193" t="str">
        <x:v>ComStar designation composition — contextual guidance</x:v>
      </x:c>
      <x:c r="J193" t="str">
        <x:v>Not rolled in the current ’Mech stage</x:v>
      </x:c>
      <x:c r="K193" t="str">
        <x:v>Reserved — not rolled</x:v>
      </x:c>
      <x:c r="L193" t="str">
        <x:v>Zeta guidance includes 2 combat vehicles, 5 infantry, and 6 aerospace.</x:v>
      </x:c>
    </x:row>
    <x:row r="194">
      <x:c r="A194" t="str">
        <x:v>182nd Division “Standing Waves”|6</x:v>
      </x:c>
      <x:c r="B194" t="str">
        <x:v>182nd Division “Standing Waves”</x:v>
      </x:c>
      <x:c r="C194" t="n">
        <x:v>6</x:v>
      </x:c>
      <x:c r="D194" t="str">
        <x:v>ComStar</x:v>
      </x:c>
      <x:c r="E194" t="str">
        <x:v>Reserved for Combat Vehicles, Infantry, and Aerospace</x:v>
      </x:c>
      <x:c r="F194"/>
      <x:c r="G194" t="str">
        <x:v>Zeta</x:v>
      </x:c>
      <x:c r="H194" t="str">
        <x:v>Support allocation</x:v>
      </x:c>
      <x:c r="I194" t="str">
        <x:v>ComStar designation composition — contextual guidance</x:v>
      </x:c>
      <x:c r="J194" t="str">
        <x:v>Not rolled in the current ’Mech stage</x:v>
      </x:c>
      <x:c r="K194" t="str">
        <x:v>Reserved — not rolled</x:v>
      </x:c>
      <x:c r="L194" t="str">
        <x:v>Zeta guidance includes 2 combat vehicles, 5 infantry, and 6 aerospace.</x:v>
      </x:c>
    </x:row>
    <x:row r="195">
      <x:c r="A195" t="str">
        <x:v>Twelfth Division “Pure Waveforms”|1</x:v>
      </x:c>
      <x:c r="B195" t="str">
        <x:v>Twelfth Division “Pure Waveforms”</x:v>
      </x:c>
      <x:c r="C195" t="n">
        <x:v>1</x:v>
      </x:c>
      <x:c r="D195" t="str">
        <x:v>ComStar</x:v>
      </x:c>
      <x:c r="E195" t="str">
        <x:v>’Mech Level II (6 ’Mechs)</x:v>
      </x:c>
      <x:c r="F195" t="n">
        <x:v>1</x:v>
      </x:c>
      <x:c r="G195" t="str">
        <x:v>Omicron</x:v>
      </x:c>
      <x:c r="H195" t="str">
        <x:v>Level II</x:v>
      </x:c>
      <x:c r="I195" t="str">
        <x:v>ComStar Formations — designation and Level II guidance</x:v>
      </x:c>
      <x:c r="J195" t="str">
        <x:v>Level II weight → formation type → ComStar ’Mechs RAT</x:v>
      </x:c>
      <x:c r="K195" t="str">
        <x:v>Ready for Level II roll</x:v>
      </x:c>
      <x:c r="L195" t="str">
        <x:v>Omicron suggests 12 ’Mechs total; this slot represents 6. Counts are contextual and FP/BV/PV remain the limits.</x:v>
      </x:c>
    </x:row>
    <x:row r="196">
      <x:c r="A196" t="str">
        <x:v>Twelfth Division “Pure Waveforms”|2</x:v>
      </x:c>
      <x:c r="B196" t="str">
        <x:v>Twelfth Division “Pure Waveforms”</x:v>
      </x:c>
      <x:c r="C196" t="n">
        <x:v>2</x:v>
      </x:c>
      <x:c r="D196" t="str">
        <x:v>ComStar</x:v>
      </x:c>
      <x:c r="E196" t="str">
        <x:v>’Mech Level II (6 ’Mechs)</x:v>
      </x:c>
      <x:c r="F196" t="n">
        <x:v>1</x:v>
      </x:c>
      <x:c r="G196" t="str">
        <x:v>Omicron</x:v>
      </x:c>
      <x:c r="H196" t="str">
        <x:v>Level II</x:v>
      </x:c>
      <x:c r="I196" t="str">
        <x:v>ComStar Formations — designation and Level II guidance</x:v>
      </x:c>
      <x:c r="J196" t="str">
        <x:v>Level II weight → formation type → ComStar ’Mechs RAT</x:v>
      </x:c>
      <x:c r="K196" t="str">
        <x:v>Ready for Level II roll</x:v>
      </x:c>
      <x:c r="L196" t="str">
        <x:v>Omicron suggests 12 ’Mechs total; this slot represents 6. Counts are contextual and FP/BV/PV remain the limits.</x:v>
      </x:c>
    </x:row>
    <x:row r="197">
      <x:c r="A197" t="str">
        <x:v>Twelfth Division “Pure Waveforms”|3</x:v>
      </x:c>
      <x:c r="B197" t="str">
        <x:v>Twelfth Division “Pure Waveforms”</x:v>
      </x:c>
      <x:c r="C197" t="n">
        <x:v>3</x:v>
      </x:c>
      <x:c r="D197" t="str">
        <x:v>ComStar</x:v>
      </x:c>
      <x:c r="E197" t="str">
        <x:v>Reserved for Combat Vehicles, Infantry, and Aerospace</x:v>
      </x:c>
      <x:c r="F197"/>
      <x:c r="G197" t="str">
        <x:v>Omicron</x:v>
      </x:c>
      <x:c r="H197" t="str">
        <x:v>Support allocation</x:v>
      </x:c>
      <x:c r="I197" t="str">
        <x:v>ComStar designation composition — contextual guidance</x:v>
      </x:c>
      <x:c r="J197" t="str">
        <x:v>Not rolled in the current ’Mech stage</x:v>
      </x:c>
      <x:c r="K197" t="str">
        <x:v>Reserved — not rolled</x:v>
      </x:c>
      <x:c r="L197" t="str">
        <x:v>Omicron guidance includes 6 combat vehicles, 12 infantry, and 6 aerospace.</x:v>
      </x:c>
    </x:row>
    <x:row r="198">
      <x:c r="A198" t="str">
        <x:v>Twelfth Division “Pure Waveforms”|4</x:v>
      </x:c>
      <x:c r="B198" t="str">
        <x:v>Twelfth Division “Pure Waveforms”</x:v>
      </x:c>
      <x:c r="C198" t="n">
        <x:v>4</x:v>
      </x:c>
      <x:c r="D198" t="str">
        <x:v>ComStar</x:v>
      </x:c>
      <x:c r="E198" t="str">
        <x:v>Reserved for Combat Vehicles, Infantry, and Aerospace</x:v>
      </x:c>
      <x:c r="F198"/>
      <x:c r="G198" t="str">
        <x:v>Omicron</x:v>
      </x:c>
      <x:c r="H198" t="str">
        <x:v>Support allocation</x:v>
      </x:c>
      <x:c r="I198" t="str">
        <x:v>ComStar designation composition — contextual guidance</x:v>
      </x:c>
      <x:c r="J198" t="str">
        <x:v>Not rolled in the current ’Mech stage</x:v>
      </x:c>
      <x:c r="K198" t="str">
        <x:v>Reserved — not rolled</x:v>
      </x:c>
      <x:c r="L198" t="str">
        <x:v>Omicron guidance includes 6 combat vehicles, 12 infantry, and 6 aerospace.</x:v>
      </x:c>
    </x:row>
    <x:row r="199">
      <x:c r="A199" t="str">
        <x:v>Twelfth Division “Pure Waveforms”|5</x:v>
      </x:c>
      <x:c r="B199" t="str">
        <x:v>Twelfth Division “Pure Waveforms”</x:v>
      </x:c>
      <x:c r="C199" t="n">
        <x:v>5</x:v>
      </x:c>
      <x:c r="D199" t="str">
        <x:v>ComStar</x:v>
      </x:c>
      <x:c r="E199" t="str">
        <x:v>Reserved for Combat Vehicles, Infantry, and Aerospace</x:v>
      </x:c>
      <x:c r="F199"/>
      <x:c r="G199" t="str">
        <x:v>Omicron</x:v>
      </x:c>
      <x:c r="H199" t="str">
        <x:v>Support allocation</x:v>
      </x:c>
      <x:c r="I199" t="str">
        <x:v>ComStar designation composition — contextual guidance</x:v>
      </x:c>
      <x:c r="J199" t="str">
        <x:v>Not rolled in the current ’Mech stage</x:v>
      </x:c>
      <x:c r="K199" t="str">
        <x:v>Reserved — not rolled</x:v>
      </x:c>
      <x:c r="L199" t="str">
        <x:v>Omicron guidance includes 6 combat vehicles, 12 infantry, and 6 aerospace.</x:v>
      </x:c>
    </x:row>
    <x:row r="200">
      <x:c r="A200" t="str">
        <x:v>Twelfth Division “Pure Waveforms”|6</x:v>
      </x:c>
      <x:c r="B200" t="str">
        <x:v>Twelfth Division “Pure Waveforms”</x:v>
      </x:c>
      <x:c r="C200" t="n">
        <x:v>6</x:v>
      </x:c>
      <x:c r="D200" t="str">
        <x:v>ComStar</x:v>
      </x:c>
      <x:c r="E200" t="str">
        <x:v>Reserved for Combat Vehicles, Infantry, and Aerospace</x:v>
      </x:c>
      <x:c r="F200"/>
      <x:c r="G200" t="str">
        <x:v>Omicron</x:v>
      </x:c>
      <x:c r="H200" t="str">
        <x:v>Support allocation</x:v>
      </x:c>
      <x:c r="I200" t="str">
        <x:v>ComStar designation composition — contextual guidance</x:v>
      </x:c>
      <x:c r="J200" t="str">
        <x:v>Not rolled in the current ’Mech stage</x:v>
      </x:c>
      <x:c r="K200" t="str">
        <x:v>Reserved — not rolled</x:v>
      </x:c>
      <x:c r="L200" t="str">
        <x:v>Omicron guidance includes 6 combat vehicles, 12 infantry, and 6 aerospace.</x:v>
      </x:c>
    </x:row>
    <x:row r="201">
      <x:c r="A201" t="str">
        <x:v>Ninety-first Division “Vision of Words”|1</x:v>
      </x:c>
      <x:c r="B201" t="str">
        <x:v>Ninety-first Division “Vision of Words”</x:v>
      </x:c>
      <x:c r="C201" t="n">
        <x:v>1</x:v>
      </x:c>
      <x:c r="D201" t="str">
        <x:v>ComStar</x:v>
      </x:c>
      <x:c r="E201" t="str">
        <x:v>’Mech Level II (6 ’Mechs)</x:v>
      </x:c>
      <x:c r="F201" t="n">
        <x:v>1</x:v>
      </x:c>
      <x:c r="G201" t="str">
        <x:v>Omicron</x:v>
      </x:c>
      <x:c r="H201" t="str">
        <x:v>Level II</x:v>
      </x:c>
      <x:c r="I201" t="str">
        <x:v>ComStar Formations — designation and Level II guidance</x:v>
      </x:c>
      <x:c r="J201" t="str">
        <x:v>Level II weight → formation type → ComStar ’Mechs RAT</x:v>
      </x:c>
      <x:c r="K201" t="str">
        <x:v>Ready for Level II roll</x:v>
      </x:c>
      <x:c r="L201" t="str">
        <x:v>Omicron suggests 12 ’Mechs total; this slot represents 6. Counts are contextual and FP/BV/PV remain the limits.</x:v>
      </x:c>
    </x:row>
    <x:row r="202">
      <x:c r="A202" t="str">
        <x:v>Ninety-first Division “Vision of Words”|2</x:v>
      </x:c>
      <x:c r="B202" t="str">
        <x:v>Ninety-first Division “Vision of Words”</x:v>
      </x:c>
      <x:c r="C202" t="n">
        <x:v>2</x:v>
      </x:c>
      <x:c r="D202" t="str">
        <x:v>ComStar</x:v>
      </x:c>
      <x:c r="E202" t="str">
        <x:v>’Mech Level II (6 ’Mechs)</x:v>
      </x:c>
      <x:c r="F202" t="n">
        <x:v>1</x:v>
      </x:c>
      <x:c r="G202" t="str">
        <x:v>Omicron</x:v>
      </x:c>
      <x:c r="H202" t="str">
        <x:v>Level II</x:v>
      </x:c>
      <x:c r="I202" t="str">
        <x:v>ComStar Formations — designation and Level II guidance</x:v>
      </x:c>
      <x:c r="J202" t="str">
        <x:v>Level II weight → formation type → ComStar ’Mechs RAT</x:v>
      </x:c>
      <x:c r="K202" t="str">
        <x:v>Ready for Level II roll</x:v>
      </x:c>
      <x:c r="L202" t="str">
        <x:v>Omicron suggests 12 ’Mechs total; this slot represents 6. Counts are contextual and FP/BV/PV remain the limits.</x:v>
      </x:c>
    </x:row>
    <x:row r="203">
      <x:c r="A203" t="str">
        <x:v>Ninety-first Division “Vision of Words”|3</x:v>
      </x:c>
      <x:c r="B203" t="str">
        <x:v>Ninety-first Division “Vision of Words”</x:v>
      </x:c>
      <x:c r="C203" t="n">
        <x:v>3</x:v>
      </x:c>
      <x:c r="D203" t="str">
        <x:v>ComStar</x:v>
      </x:c>
      <x:c r="E203" t="str">
        <x:v>Reserved for Combat Vehicles, Infantry, and Aerospace</x:v>
      </x:c>
      <x:c r="F203"/>
      <x:c r="G203" t="str">
        <x:v>Omicron</x:v>
      </x:c>
      <x:c r="H203" t="str">
        <x:v>Support allocation</x:v>
      </x:c>
      <x:c r="I203" t="str">
        <x:v>ComStar designation composition — contextual guidance</x:v>
      </x:c>
      <x:c r="J203" t="str">
        <x:v>Not rolled in the current ’Mech stage</x:v>
      </x:c>
      <x:c r="K203" t="str">
        <x:v>Reserved — not rolled</x:v>
      </x:c>
      <x:c r="L203" t="str">
        <x:v>Omicron guidance includes 6 combat vehicles, 12 infantry, and 6 aerospace.</x:v>
      </x:c>
    </x:row>
    <x:row r="204">
      <x:c r="A204" t="str">
        <x:v>Ninety-first Division “Vision of Words”|4</x:v>
      </x:c>
      <x:c r="B204" t="str">
        <x:v>Ninety-first Division “Vision of Words”</x:v>
      </x:c>
      <x:c r="C204" t="n">
        <x:v>4</x:v>
      </x:c>
      <x:c r="D204" t="str">
        <x:v>ComStar</x:v>
      </x:c>
      <x:c r="E204" t="str">
        <x:v>Reserved for Combat Vehicles, Infantry, and Aerospace</x:v>
      </x:c>
      <x:c r="F204"/>
      <x:c r="G204" t="str">
        <x:v>Omicron</x:v>
      </x:c>
      <x:c r="H204" t="str">
        <x:v>Support allocation</x:v>
      </x:c>
      <x:c r="I204" t="str">
        <x:v>ComStar designation composition — contextual guidance</x:v>
      </x:c>
      <x:c r="J204" t="str">
        <x:v>Not rolled in the current ’Mech stage</x:v>
      </x:c>
      <x:c r="K204" t="str">
        <x:v>Reserved — not rolled</x:v>
      </x:c>
      <x:c r="L204" t="str">
        <x:v>Omicron guidance includes 6 combat vehicles, 12 infantry, and 6 aerospace.</x:v>
      </x:c>
    </x:row>
    <x:row r="205">
      <x:c r="A205" t="str">
        <x:v>Ninety-first Division “Vision of Words”|5</x:v>
      </x:c>
      <x:c r="B205" t="str">
        <x:v>Ninety-first Division “Vision of Words”</x:v>
      </x:c>
      <x:c r="C205" t="n">
        <x:v>5</x:v>
      </x:c>
      <x:c r="D205" t="str">
        <x:v>ComStar</x:v>
      </x:c>
      <x:c r="E205" t="str">
        <x:v>Reserved for Combat Vehicles, Infantry, and Aerospace</x:v>
      </x:c>
      <x:c r="F205"/>
      <x:c r="G205" t="str">
        <x:v>Omicron</x:v>
      </x:c>
      <x:c r="H205" t="str">
        <x:v>Support allocation</x:v>
      </x:c>
      <x:c r="I205" t="str">
        <x:v>ComStar designation composition — contextual guidance</x:v>
      </x:c>
      <x:c r="J205" t="str">
        <x:v>Not rolled in the current ’Mech stage</x:v>
      </x:c>
      <x:c r="K205" t="str">
        <x:v>Reserved — not rolled</x:v>
      </x:c>
      <x:c r="L205" t="str">
        <x:v>Omicron guidance includes 6 combat vehicles, 12 infantry, and 6 aerospace.</x:v>
      </x:c>
    </x:row>
    <x:row r="206">
      <x:c r="A206" t="str">
        <x:v>Ninety-first Division “Vision of Words”|6</x:v>
      </x:c>
      <x:c r="B206" t="str">
        <x:v>Ninety-first Division “Vision of Words”</x:v>
      </x:c>
      <x:c r="C206" t="n">
        <x:v>6</x:v>
      </x:c>
      <x:c r="D206" t="str">
        <x:v>ComStar</x:v>
      </x:c>
      <x:c r="E206" t="str">
        <x:v>Reserved for Combat Vehicles, Infantry, and Aerospace</x:v>
      </x:c>
      <x:c r="F206"/>
      <x:c r="G206" t="str">
        <x:v>Omicron</x:v>
      </x:c>
      <x:c r="H206" t="str">
        <x:v>Support allocation</x:v>
      </x:c>
      <x:c r="I206" t="str">
        <x:v>ComStar designation composition — contextual guidance</x:v>
      </x:c>
      <x:c r="J206" t="str">
        <x:v>Not rolled in the current ’Mech stage</x:v>
      </x:c>
      <x:c r="K206" t="str">
        <x:v>Reserved — not rolled</x:v>
      </x:c>
      <x:c r="L206" t="str">
        <x:v>Omicron guidance includes 6 combat vehicles, 12 infantry, and 6 aerospace.</x:v>
      </x:c>
    </x:row>
    <x:row r="207">
      <x:c r="A207" t="str">
        <x:v>121st Division “Effective Actions”|1</x:v>
      </x:c>
      <x:c r="B207" t="str">
        <x:v>121st Division “Effective Actions”</x:v>
      </x:c>
      <x:c r="C207" t="n">
        <x:v>1</x:v>
      </x:c>
      <x:c r="D207" t="str">
        <x:v>ComStar</x:v>
      </x:c>
      <x:c r="E207" t="str">
        <x:v>’Mech Level II (6 ’Mechs)</x:v>
      </x:c>
      <x:c r="F207" t="n">
        <x:v>1</x:v>
      </x:c>
      <x:c r="G207" t="str">
        <x:v>Eta</x:v>
      </x:c>
      <x:c r="H207" t="str">
        <x:v>Level II</x:v>
      </x:c>
      <x:c r="I207" t="str">
        <x:v>ComStar Formations — designation and Level II guidance</x:v>
      </x:c>
      <x:c r="J207" t="str">
        <x:v>Level II weight → formation type → ComStar ’Mechs RAT</x:v>
      </x:c>
      <x:c r="K207" t="str">
        <x:v>Ready for Level II roll</x:v>
      </x:c>
      <x:c r="L207" t="str">
        <x:v>Eta suggests 21 ’Mechs total; this slot represents 6. Counts are contextual and FP/BV/PV remain the limits.</x:v>
      </x:c>
    </x:row>
    <x:row r="208">
      <x:c r="A208" t="str">
        <x:v>121st Division “Effective Actions”|2</x:v>
      </x:c>
      <x:c r="B208" t="str">
        <x:v>121st Division “Effective Actions”</x:v>
      </x:c>
      <x:c r="C208" t="n">
        <x:v>2</x:v>
      </x:c>
      <x:c r="D208" t="str">
        <x:v>ComStar</x:v>
      </x:c>
      <x:c r="E208" t="str">
        <x:v>’Mech Level II (6 ’Mechs)</x:v>
      </x:c>
      <x:c r="F208" t="n">
        <x:v>1</x:v>
      </x:c>
      <x:c r="G208" t="str">
        <x:v>Eta</x:v>
      </x:c>
      <x:c r="H208" t="str">
        <x:v>Level II</x:v>
      </x:c>
      <x:c r="I208" t="str">
        <x:v>ComStar Formations — designation and Level II guidance</x:v>
      </x:c>
      <x:c r="J208" t="str">
        <x:v>Level II weight → formation type → ComStar ’Mechs RAT</x:v>
      </x:c>
      <x:c r="K208" t="str">
        <x:v>Ready for Level II roll</x:v>
      </x:c>
      <x:c r="L208" t="str">
        <x:v>Eta suggests 21 ’Mechs total; this slot represents 6. Counts are contextual and FP/BV/PV remain the limits.</x:v>
      </x:c>
    </x:row>
    <x:row r="209">
      <x:c r="A209" t="str">
        <x:v>121st Division “Effective Actions”|3</x:v>
      </x:c>
      <x:c r="B209" t="str">
        <x:v>121st Division “Effective Actions”</x:v>
      </x:c>
      <x:c r="C209" t="n">
        <x:v>3</x:v>
      </x:c>
      <x:c r="D209" t="str">
        <x:v>ComStar</x:v>
      </x:c>
      <x:c r="E209" t="str">
        <x:v>’Mech Level II (6 ’Mechs)</x:v>
      </x:c>
      <x:c r="F209" t="n">
        <x:v>1</x:v>
      </x:c>
      <x:c r="G209" t="str">
        <x:v>Eta</x:v>
      </x:c>
      <x:c r="H209" t="str">
        <x:v>Level II</x:v>
      </x:c>
      <x:c r="I209" t="str">
        <x:v>ComStar Formations — designation and Level II guidance</x:v>
      </x:c>
      <x:c r="J209" t="str">
        <x:v>Level II weight → formation type → ComStar ’Mechs RAT</x:v>
      </x:c>
      <x:c r="K209" t="str">
        <x:v>Ready for Level II roll</x:v>
      </x:c>
      <x:c r="L209" t="str">
        <x:v>Eta suggests 21 ’Mechs total; this slot represents 6. Counts are contextual and FP/BV/PV remain the limits.</x:v>
      </x:c>
    </x:row>
    <x:row r="210">
      <x:c r="A210" t="str">
        <x:v>121st Division “Effective Actions”|4</x:v>
      </x:c>
      <x:c r="B210" t="str">
        <x:v>121st Division “Effective Actions”</x:v>
      </x:c>
      <x:c r="C210" t="n">
        <x:v>4</x:v>
      </x:c>
      <x:c r="D210" t="str">
        <x:v>ComStar</x:v>
      </x:c>
      <x:c r="E210" t="str">
        <x:v>Partial ’Mech Level II (3 ’Mechs)</x:v>
      </x:c>
      <x:c r="F210" t="n">
        <x:v>1</x:v>
      </x:c>
      <x:c r="G210" t="str">
        <x:v>Eta</x:v>
      </x:c>
      <x:c r="H210" t="str">
        <x:v>Partial Level II</x:v>
      </x:c>
      <x:c r="I210" t="str">
        <x:v>ComStar Formations — designation and Level II guidance</x:v>
      </x:c>
      <x:c r="J210" t="str">
        <x:v>Level II weight → formation type → ComStar ’Mechs RAT</x:v>
      </x:c>
      <x:c r="K210" t="str">
        <x:v>Ready for Level II roll</x:v>
      </x:c>
      <x:c r="L210" t="str">
        <x:v>Eta suggests 21 ’Mechs total; this slot represents 3. Counts are contextual and FP/BV/PV remain the limits.</x:v>
      </x:c>
    </x:row>
    <x:row r="211">
      <x:c r="A211" t="str">
        <x:v>121st Division “Effective Actions”|5</x:v>
      </x:c>
      <x:c r="B211" t="str">
        <x:v>121st Division “Effective Actions”</x:v>
      </x:c>
      <x:c r="C211" t="n">
        <x:v>5</x:v>
      </x:c>
      <x:c r="D211" t="str">
        <x:v>ComStar</x:v>
      </x:c>
      <x:c r="E211" t="str">
        <x:v>Reserved for Combat Vehicles, Infantry, and Aerospace</x:v>
      </x:c>
      <x:c r="F211"/>
      <x:c r="G211" t="str">
        <x:v>Eta</x:v>
      </x:c>
      <x:c r="H211" t="str">
        <x:v>Support allocation</x:v>
      </x:c>
      <x:c r="I211" t="str">
        <x:v>ComStar designation composition — contextual guidance</x:v>
      </x:c>
      <x:c r="J211" t="str">
        <x:v>Not rolled in the current ’Mech stage</x:v>
      </x:c>
      <x:c r="K211" t="str">
        <x:v>Reserved — not rolled</x:v>
      </x:c>
      <x:c r="L211" t="str">
        <x:v>Eta guidance includes 3 combat vehicles, 6 infantry, and 6 aerospace.</x:v>
      </x:c>
    </x:row>
    <x:row r="212">
      <x:c r="A212" t="str">
        <x:v>121st Division “Effective Actions”|6</x:v>
      </x:c>
      <x:c r="B212" t="str">
        <x:v>121st Division “Effective Actions”</x:v>
      </x:c>
      <x:c r="C212" t="n">
        <x:v>6</x:v>
      </x:c>
      <x:c r="D212" t="str">
        <x:v>ComStar</x:v>
      </x:c>
      <x:c r="E212" t="str">
        <x:v>Reserved for Combat Vehicles, Infantry, and Aerospace</x:v>
      </x:c>
      <x:c r="F212"/>
      <x:c r="G212" t="str">
        <x:v>Eta</x:v>
      </x:c>
      <x:c r="H212" t="str">
        <x:v>Support allocation</x:v>
      </x:c>
      <x:c r="I212" t="str">
        <x:v>ComStar designation composition — contextual guidance</x:v>
      </x:c>
      <x:c r="J212" t="str">
        <x:v>Not rolled in the current ’Mech stage</x:v>
      </x:c>
      <x:c r="K212" t="str">
        <x:v>Reserved — not rolled</x:v>
      </x:c>
      <x:c r="L212" t="str">
        <x:v>Eta guidance includes 3 combat vehicles, 6 infantry, and 6 aerospace.</x:v>
      </x:c>
    </x:row>
    <x:row r="213">
      <x:c r="A213" t="str">
        <x:v>90th Division “Gentle Persuasion”|1</x:v>
      </x:c>
      <x:c r="B213" t="str">
        <x:v>90th Division “Gentle Persuasion”</x:v>
      </x:c>
      <x:c r="C213" t="n">
        <x:v>1</x:v>
      </x:c>
      <x:c r="D213" t="str">
        <x:v>ComStar</x:v>
      </x:c>
      <x:c r="E213" t="str">
        <x:v>’Mech Level II (6 ’Mechs)</x:v>
      </x:c>
      <x:c r="F213" t="n">
        <x:v>1</x:v>
      </x:c>
      <x:c r="G213" t="str">
        <x:v>Zeta</x:v>
      </x:c>
      <x:c r="H213" t="str">
        <x:v>Level II</x:v>
      </x:c>
      <x:c r="I213" t="str">
        <x:v>ComStar Formations — designation and Level II guidance</x:v>
      </x:c>
      <x:c r="J213" t="str">
        <x:v>Level II weight → formation type → ComStar ’Mechs RAT</x:v>
      </x:c>
      <x:c r="K213" t="str">
        <x:v>Ready for Level II roll</x:v>
      </x:c>
      <x:c r="L213" t="str">
        <x:v>Zeta suggests 23 ’Mechs total; this slot represents 6. Counts are contextual and FP/BV/PV remain the limits.</x:v>
      </x:c>
    </x:row>
    <x:row r="214">
      <x:c r="A214" t="str">
        <x:v>90th Division “Gentle Persuasion”|2</x:v>
      </x:c>
      <x:c r="B214" t="str">
        <x:v>90th Division “Gentle Persuasion”</x:v>
      </x:c>
      <x:c r="C214" t="n">
        <x:v>2</x:v>
      </x:c>
      <x:c r="D214" t="str">
        <x:v>ComStar</x:v>
      </x:c>
      <x:c r="E214" t="str">
        <x:v>’Mech Level II (6 ’Mechs)</x:v>
      </x:c>
      <x:c r="F214" t="n">
        <x:v>1</x:v>
      </x:c>
      <x:c r="G214" t="str">
        <x:v>Zeta</x:v>
      </x:c>
      <x:c r="H214" t="str">
        <x:v>Level II</x:v>
      </x:c>
      <x:c r="I214" t="str">
        <x:v>ComStar Formations — designation and Level II guidance</x:v>
      </x:c>
      <x:c r="J214" t="str">
        <x:v>Level II weight → formation type → ComStar ’Mechs RAT</x:v>
      </x:c>
      <x:c r="K214" t="str">
        <x:v>Ready for Level II roll</x:v>
      </x:c>
      <x:c r="L214" t="str">
        <x:v>Zeta suggests 23 ’Mechs total; this slot represents 6. Counts are contextual and FP/BV/PV remain the limits.</x:v>
      </x:c>
    </x:row>
    <x:row r="215">
      <x:c r="A215" t="str">
        <x:v>90th Division “Gentle Persuasion”|3</x:v>
      </x:c>
      <x:c r="B215" t="str">
        <x:v>90th Division “Gentle Persuasion”</x:v>
      </x:c>
      <x:c r="C215" t="n">
        <x:v>3</x:v>
      </x:c>
      <x:c r="D215" t="str">
        <x:v>ComStar</x:v>
      </x:c>
      <x:c r="E215" t="str">
        <x:v>’Mech Level II (6 ’Mechs)</x:v>
      </x:c>
      <x:c r="F215" t="n">
        <x:v>1</x:v>
      </x:c>
      <x:c r="G215" t="str">
        <x:v>Zeta</x:v>
      </x:c>
      <x:c r="H215" t="str">
        <x:v>Level II</x:v>
      </x:c>
      <x:c r="I215" t="str">
        <x:v>ComStar Formations — designation and Level II guidance</x:v>
      </x:c>
      <x:c r="J215" t="str">
        <x:v>Level II weight → formation type → ComStar ’Mechs RAT</x:v>
      </x:c>
      <x:c r="K215" t="str">
        <x:v>Ready for Level II roll</x:v>
      </x:c>
      <x:c r="L215" t="str">
        <x:v>Zeta suggests 23 ’Mechs total; this slot represents 6. Counts are contextual and FP/BV/PV remain the limits.</x:v>
      </x:c>
    </x:row>
    <x:row r="216">
      <x:c r="A216" t="str">
        <x:v>90th Division “Gentle Persuasion”|4</x:v>
      </x:c>
      <x:c r="B216" t="str">
        <x:v>90th Division “Gentle Persuasion”</x:v>
      </x:c>
      <x:c r="C216" t="n">
        <x:v>4</x:v>
      </x:c>
      <x:c r="D216" t="str">
        <x:v>ComStar</x:v>
      </x:c>
      <x:c r="E216" t="str">
        <x:v>Partial ’Mech Level II (5 ’Mechs)</x:v>
      </x:c>
      <x:c r="F216" t="n">
        <x:v>1</x:v>
      </x:c>
      <x:c r="G216" t="str">
        <x:v>Zeta</x:v>
      </x:c>
      <x:c r="H216" t="str">
        <x:v>Partial Level II</x:v>
      </x:c>
      <x:c r="I216" t="str">
        <x:v>ComStar Formations — designation and Level II guidance</x:v>
      </x:c>
      <x:c r="J216" t="str">
        <x:v>Level II weight → formation type → ComStar ’Mechs RAT</x:v>
      </x:c>
      <x:c r="K216" t="str">
        <x:v>Ready for Level II roll</x:v>
      </x:c>
      <x:c r="L216" t="str">
        <x:v>Zeta suggests 23 ’Mechs total; this slot represents 5. Counts are contextual and FP/BV/PV remain the limits.</x:v>
      </x:c>
    </x:row>
    <x:row r="217">
      <x:c r="A217" t="str">
        <x:v>90th Division “Gentle Persuasion”|5</x:v>
      </x:c>
      <x:c r="B217" t="str">
        <x:v>90th Division “Gentle Persuasion”</x:v>
      </x:c>
      <x:c r="C217" t="n">
        <x:v>5</x:v>
      </x:c>
      <x:c r="D217" t="str">
        <x:v>ComStar</x:v>
      </x:c>
      <x:c r="E217" t="str">
        <x:v>Reserved for Combat Vehicles, Infantry, and Aerospace</x:v>
      </x:c>
      <x:c r="F217"/>
      <x:c r="G217" t="str">
        <x:v>Zeta</x:v>
      </x:c>
      <x:c r="H217" t="str">
        <x:v>Support allocation</x:v>
      </x:c>
      <x:c r="I217" t="str">
        <x:v>ComStar designation composition — contextual guidance</x:v>
      </x:c>
      <x:c r="J217" t="str">
        <x:v>Not rolled in the current ’Mech stage</x:v>
      </x:c>
      <x:c r="K217" t="str">
        <x:v>Reserved — not rolled</x:v>
      </x:c>
      <x:c r="L217" t="str">
        <x:v>Zeta guidance includes 2 combat vehicles, 5 infantry, and 6 aerospace.</x:v>
      </x:c>
    </x:row>
    <x:row r="218">
      <x:c r="A218" t="str">
        <x:v>90th Division “Gentle Persuasion”|6</x:v>
      </x:c>
      <x:c r="B218" t="str">
        <x:v>90th Division “Gentle Persuasion”</x:v>
      </x:c>
      <x:c r="C218" t="n">
        <x:v>6</x:v>
      </x:c>
      <x:c r="D218" t="str">
        <x:v>ComStar</x:v>
      </x:c>
      <x:c r="E218" t="str">
        <x:v>Reserved for Combat Vehicles, Infantry, and Aerospace</x:v>
      </x:c>
      <x:c r="F218"/>
      <x:c r="G218" t="str">
        <x:v>Zeta</x:v>
      </x:c>
      <x:c r="H218" t="str">
        <x:v>Support allocation</x:v>
      </x:c>
      <x:c r="I218" t="str">
        <x:v>ComStar designation composition — contextual guidance</x:v>
      </x:c>
      <x:c r="J218" t="str">
        <x:v>Not rolled in the current ’Mech stage</x:v>
      </x:c>
      <x:c r="K218" t="str">
        <x:v>Reserved — not rolled</x:v>
      </x:c>
      <x:c r="L218" t="str">
        <x:v>Zeta guidance includes 2 combat vehicles, 5 infantry, and 6 aerospace.</x:v>
      </x:c>
    </x:row>
    <x:row r="219">
      <x:c r="A219" t="str">
        <x:v>First Division “Strong Retaliation”|1</x:v>
      </x:c>
      <x:c r="B219" t="str">
        <x:v>First Division “Strong Retaliation”</x:v>
      </x:c>
      <x:c r="C219" t="n">
        <x:v>1</x:v>
      </x:c>
      <x:c r="D219" t="str">
        <x:v>ComStar</x:v>
      </x:c>
      <x:c r="E219" t="str">
        <x:v>’Mech Level II (6 ’Mechs)</x:v>
      </x:c>
      <x:c r="F219" t="n">
        <x:v>1</x:v>
      </x:c>
      <x:c r="G219" t="str">
        <x:v>Pi</x:v>
      </x:c>
      <x:c r="H219" t="str">
        <x:v>Level II</x:v>
      </x:c>
      <x:c r="I219" t="str">
        <x:v>ComStar Formations — designation and Level II guidance</x:v>
      </x:c>
      <x:c r="J219" t="str">
        <x:v>Level II weight → formation type → ComStar ’Mechs RAT</x:v>
      </x:c>
      <x:c r="K219" t="str">
        <x:v>Ready for Level II roll</x:v>
      </x:c>
      <x:c r="L219" t="str">
        <x:v>Pi suggests 11 ’Mechs total; this slot represents 6. Counts are contextual and FP/BV/PV remain the limits.</x:v>
      </x:c>
    </x:row>
    <x:row r="220">
      <x:c r="A220" t="str">
        <x:v>First Division “Strong Retaliation”|2</x:v>
      </x:c>
      <x:c r="B220" t="str">
        <x:v>First Division “Strong Retaliation”</x:v>
      </x:c>
      <x:c r="C220" t="n">
        <x:v>2</x:v>
      </x:c>
      <x:c r="D220" t="str">
        <x:v>ComStar</x:v>
      </x:c>
      <x:c r="E220" t="str">
        <x:v>Partial ’Mech Level II (5 ’Mechs)</x:v>
      </x:c>
      <x:c r="F220" t="n">
        <x:v>1</x:v>
      </x:c>
      <x:c r="G220" t="str">
        <x:v>Pi</x:v>
      </x:c>
      <x:c r="H220" t="str">
        <x:v>Partial Level II</x:v>
      </x:c>
      <x:c r="I220" t="str">
        <x:v>ComStar Formations — designation and Level II guidance</x:v>
      </x:c>
      <x:c r="J220" t="str">
        <x:v>Level II weight → formation type → ComStar ’Mechs RAT</x:v>
      </x:c>
      <x:c r="K220" t="str">
        <x:v>Ready for Level II roll</x:v>
      </x:c>
      <x:c r="L220" t="str">
        <x:v>Pi suggests 11 ’Mechs total; this slot represents 5. Counts are contextual and FP/BV/PV remain the limits.</x:v>
      </x:c>
    </x:row>
    <x:row r="221">
      <x:c r="A221" t="str">
        <x:v>First Division “Strong Retaliation”|3</x:v>
      </x:c>
      <x:c r="B221" t="str">
        <x:v>First Division “Strong Retaliation”</x:v>
      </x:c>
      <x:c r="C221" t="n">
        <x:v>3</x:v>
      </x:c>
      <x:c r="D221" t="str">
        <x:v>ComStar</x:v>
      </x:c>
      <x:c r="E221" t="str">
        <x:v>Reserved for Combat Vehicles, Infantry, and Aerospace</x:v>
      </x:c>
      <x:c r="F221"/>
      <x:c r="G221" t="str">
        <x:v>Pi</x:v>
      </x:c>
      <x:c r="H221" t="str">
        <x:v>Support allocation</x:v>
      </x:c>
      <x:c r="I221" t="str">
        <x:v>ComStar designation composition — contextual guidance</x:v>
      </x:c>
      <x:c r="J221" t="str">
        <x:v>Not rolled in the current ’Mech stage</x:v>
      </x:c>
      <x:c r="K221" t="str">
        <x:v>Reserved — not rolled</x:v>
      </x:c>
      <x:c r="L221" t="str">
        <x:v>Pi guidance includes 6 combat vehicles, 13 infantry, and 6 aerospace.</x:v>
      </x:c>
    </x:row>
    <x:row r="222">
      <x:c r="A222" t="str">
        <x:v>First Division “Strong Retaliation”|4</x:v>
      </x:c>
      <x:c r="B222" t="str">
        <x:v>First Division “Strong Retaliation”</x:v>
      </x:c>
      <x:c r="C222" t="n">
        <x:v>4</x:v>
      </x:c>
      <x:c r="D222" t="str">
        <x:v>ComStar</x:v>
      </x:c>
      <x:c r="E222" t="str">
        <x:v>Reserved for Combat Vehicles, Infantry, and Aerospace</x:v>
      </x:c>
      <x:c r="F222"/>
      <x:c r="G222" t="str">
        <x:v>Pi</x:v>
      </x:c>
      <x:c r="H222" t="str">
        <x:v>Support allocation</x:v>
      </x:c>
      <x:c r="I222" t="str">
        <x:v>ComStar designation composition — contextual guidance</x:v>
      </x:c>
      <x:c r="J222" t="str">
        <x:v>Not rolled in the current ’Mech stage</x:v>
      </x:c>
      <x:c r="K222" t="str">
        <x:v>Reserved — not rolled</x:v>
      </x:c>
      <x:c r="L222" t="str">
        <x:v>Pi guidance includes 6 combat vehicles, 13 infantry, and 6 aerospace.</x:v>
      </x:c>
    </x:row>
    <x:row r="223">
      <x:c r="A223" t="str">
        <x:v>First Division “Strong Retaliation”|5</x:v>
      </x:c>
      <x:c r="B223" t="str">
        <x:v>First Division “Strong Retaliation”</x:v>
      </x:c>
      <x:c r="C223" t="n">
        <x:v>5</x:v>
      </x:c>
      <x:c r="D223" t="str">
        <x:v>ComStar</x:v>
      </x:c>
      <x:c r="E223" t="str">
        <x:v>Reserved for Combat Vehicles, Infantry, and Aerospace</x:v>
      </x:c>
      <x:c r="F223"/>
      <x:c r="G223" t="str">
        <x:v>Pi</x:v>
      </x:c>
      <x:c r="H223" t="str">
        <x:v>Support allocation</x:v>
      </x:c>
      <x:c r="I223" t="str">
        <x:v>ComStar designation composition — contextual guidance</x:v>
      </x:c>
      <x:c r="J223" t="str">
        <x:v>Not rolled in the current ’Mech stage</x:v>
      </x:c>
      <x:c r="K223" t="str">
        <x:v>Reserved — not rolled</x:v>
      </x:c>
      <x:c r="L223" t="str">
        <x:v>Pi guidance includes 6 combat vehicles, 13 infantry, and 6 aerospace.</x:v>
      </x:c>
    </x:row>
    <x:row r="224">
      <x:c r="A224" t="str">
        <x:v>First Division “Strong Retaliation”|6</x:v>
      </x:c>
      <x:c r="B224" t="str">
        <x:v>First Division “Strong Retaliation”</x:v>
      </x:c>
      <x:c r="C224" t="n">
        <x:v>6</x:v>
      </x:c>
      <x:c r="D224" t="str">
        <x:v>ComStar</x:v>
      </x:c>
      <x:c r="E224" t="str">
        <x:v>Reserved for Combat Vehicles, Infantry, and Aerospace</x:v>
      </x:c>
      <x:c r="F224"/>
      <x:c r="G224" t="str">
        <x:v>Pi</x:v>
      </x:c>
      <x:c r="H224" t="str">
        <x:v>Support allocation</x:v>
      </x:c>
      <x:c r="I224" t="str">
        <x:v>ComStar designation composition — contextual guidance</x:v>
      </x:c>
      <x:c r="J224" t="str">
        <x:v>Not rolled in the current ’Mech stage</x:v>
      </x:c>
      <x:c r="K224" t="str">
        <x:v>Reserved — not rolled</x:v>
      </x:c>
      <x:c r="L224" t="str">
        <x:v>Pi guidance includes 6 combat vehicles, 13 infantry, and 6 aerospace.</x:v>
      </x:c>
    </x:row>
    <x:row r="225">
      <x:c r="A225" t="str">
        <x:v>Sixth Division “Alert Words”|1</x:v>
      </x:c>
      <x:c r="B225" t="str">
        <x:v>Sixth Division “Alert Words”</x:v>
      </x:c>
      <x:c r="C225" t="n">
        <x:v>1</x:v>
      </x:c>
      <x:c r="D225" t="str">
        <x:v>ComStar</x:v>
      </x:c>
      <x:c r="E225" t="str">
        <x:v>’Mech Level II (6 ’Mechs)</x:v>
      </x:c>
      <x:c r="F225" t="n">
        <x:v>1</x:v>
      </x:c>
      <x:c r="G225" t="str">
        <x:v>Xi</x:v>
      </x:c>
      <x:c r="H225" t="str">
        <x:v>Level II</x:v>
      </x:c>
      <x:c r="I225" t="str">
        <x:v>ComStar Formations — designation and Level II guidance</x:v>
      </x:c>
      <x:c r="J225" t="str">
        <x:v>Level II weight → formation type → ComStar ’Mechs RAT</x:v>
      </x:c>
      <x:c r="K225" t="str">
        <x:v>Ready for Level II roll</x:v>
      </x:c>
      <x:c r="L225" t="str">
        <x:v>Xi suggests 14 ’Mechs total; this slot represents 6. Counts are contextual and FP/BV/PV remain the limits.</x:v>
      </x:c>
    </x:row>
    <x:row r="226">
      <x:c r="A226" t="str">
        <x:v>Sixth Division “Alert Words”|2</x:v>
      </x:c>
      <x:c r="B226" t="str">
        <x:v>Sixth Division “Alert Words”</x:v>
      </x:c>
      <x:c r="C226" t="n">
        <x:v>2</x:v>
      </x:c>
      <x:c r="D226" t="str">
        <x:v>ComStar</x:v>
      </x:c>
      <x:c r="E226" t="str">
        <x:v>’Mech Level II (6 ’Mechs)</x:v>
      </x:c>
      <x:c r="F226" t="n">
        <x:v>1</x:v>
      </x:c>
      <x:c r="G226" t="str">
        <x:v>Xi</x:v>
      </x:c>
      <x:c r="H226" t="str">
        <x:v>Level II</x:v>
      </x:c>
      <x:c r="I226" t="str">
        <x:v>ComStar Formations — designation and Level II guidance</x:v>
      </x:c>
      <x:c r="J226" t="str">
        <x:v>Level II weight → formation type → ComStar ’Mechs RAT</x:v>
      </x:c>
      <x:c r="K226" t="str">
        <x:v>Ready for Level II roll</x:v>
      </x:c>
      <x:c r="L226" t="str">
        <x:v>Xi suggests 14 ’Mechs total; this slot represents 6. Counts are contextual and FP/BV/PV remain the limits.</x:v>
      </x:c>
    </x:row>
    <x:row r="227">
      <x:c r="A227" t="str">
        <x:v>Sixth Division “Alert Words”|3</x:v>
      </x:c>
      <x:c r="B227" t="str">
        <x:v>Sixth Division “Alert Words”</x:v>
      </x:c>
      <x:c r="C227" t="n">
        <x:v>3</x:v>
      </x:c>
      <x:c r="D227" t="str">
        <x:v>ComStar</x:v>
      </x:c>
      <x:c r="E227" t="str">
        <x:v>Partial ’Mech Level II (2 ’Mechs)</x:v>
      </x:c>
      <x:c r="F227" t="n">
        <x:v>1</x:v>
      </x:c>
      <x:c r="G227" t="str">
        <x:v>Xi</x:v>
      </x:c>
      <x:c r="H227" t="str">
        <x:v>Partial Level II</x:v>
      </x:c>
      <x:c r="I227" t="str">
        <x:v>ComStar Formations — designation and Level II guidance</x:v>
      </x:c>
      <x:c r="J227" t="str">
        <x:v>Level II weight → formation type → ComStar ’Mechs RAT</x:v>
      </x:c>
      <x:c r="K227" t="str">
        <x:v>Ready for Level II roll</x:v>
      </x:c>
      <x:c r="L227" t="str">
        <x:v>Xi suggests 14 ’Mechs total; this slot represents 2. Counts are contextual and FP/BV/PV remain the limits.</x:v>
      </x:c>
    </x:row>
    <x:row r="228">
      <x:c r="A228" t="str">
        <x:v>Sixth Division “Alert Words”|4</x:v>
      </x:c>
      <x:c r="B228" t="str">
        <x:v>Sixth Division “Alert Words”</x:v>
      </x:c>
      <x:c r="C228" t="n">
        <x:v>4</x:v>
      </x:c>
      <x:c r="D228" t="str">
        <x:v>ComStar</x:v>
      </x:c>
      <x:c r="E228" t="str">
        <x:v>Reserved for Combat Vehicles, Infantry, and Aerospace</x:v>
      </x:c>
      <x:c r="F228"/>
      <x:c r="G228" t="str">
        <x:v>Xi</x:v>
      </x:c>
      <x:c r="H228" t="str">
        <x:v>Support allocation</x:v>
      </x:c>
      <x:c r="I228" t="str">
        <x:v>ComStar designation composition — contextual guidance</x:v>
      </x:c>
      <x:c r="J228" t="str">
        <x:v>Not rolled in the current ’Mech stage</x:v>
      </x:c>
      <x:c r="K228" t="str">
        <x:v>Reserved — not rolled</x:v>
      </x:c>
      <x:c r="L228" t="str">
        <x:v>Xi guidance includes 5 combat vehicles, 11 infantry, and 6 aerospace.</x:v>
      </x:c>
    </x:row>
    <x:row r="229">
      <x:c r="A229" t="str">
        <x:v>Sixth Division “Alert Words”|5</x:v>
      </x:c>
      <x:c r="B229" t="str">
        <x:v>Sixth Division “Alert Words”</x:v>
      </x:c>
      <x:c r="C229" t="n">
        <x:v>5</x:v>
      </x:c>
      <x:c r="D229" t="str">
        <x:v>ComStar</x:v>
      </x:c>
      <x:c r="E229" t="str">
        <x:v>Reserved for Combat Vehicles, Infantry, and Aerospace</x:v>
      </x:c>
      <x:c r="F229"/>
      <x:c r="G229" t="str">
        <x:v>Xi</x:v>
      </x:c>
      <x:c r="H229" t="str">
        <x:v>Support allocation</x:v>
      </x:c>
      <x:c r="I229" t="str">
        <x:v>ComStar designation composition — contextual guidance</x:v>
      </x:c>
      <x:c r="J229" t="str">
        <x:v>Not rolled in the current ’Mech stage</x:v>
      </x:c>
      <x:c r="K229" t="str">
        <x:v>Reserved — not rolled</x:v>
      </x:c>
      <x:c r="L229" t="str">
        <x:v>Xi guidance includes 5 combat vehicles, 11 infantry, and 6 aerospace.</x:v>
      </x:c>
    </x:row>
    <x:row r="230">
      <x:c r="A230" t="str">
        <x:v>Sixth Division “Alert Words”|6</x:v>
      </x:c>
      <x:c r="B230" t="str">
        <x:v>Sixth Division “Alert Words”</x:v>
      </x:c>
      <x:c r="C230" t="n">
        <x:v>6</x:v>
      </x:c>
      <x:c r="D230" t="str">
        <x:v>ComStar</x:v>
      </x:c>
      <x:c r="E230" t="str">
        <x:v>Reserved for Combat Vehicles, Infantry, and Aerospace</x:v>
      </x:c>
      <x:c r="F230"/>
      <x:c r="G230" t="str">
        <x:v>Xi</x:v>
      </x:c>
      <x:c r="H230" t="str">
        <x:v>Support allocation</x:v>
      </x:c>
      <x:c r="I230" t="str">
        <x:v>ComStar designation composition — contextual guidance</x:v>
      </x:c>
      <x:c r="J230" t="str">
        <x:v>Not rolled in the current ’Mech stage</x:v>
      </x:c>
      <x:c r="K230" t="str">
        <x:v>Reserved — not rolled</x:v>
      </x:c>
      <x:c r="L230" t="str">
        <x:v>Xi guidance includes 5 combat vehicles, 11 infantry, and 6 aerospace.</x:v>
      </x:c>
    </x:row>
    <x:row r="231">
      <x:c r="A231" t="str">
        <x:v>Seventy-eighth Division “Vigorous Defiance”|1</x:v>
      </x:c>
      <x:c r="B231" t="str">
        <x:v>Seventy-eighth Division “Vigorous Defiance”</x:v>
      </x:c>
      <x:c r="C231" t="n">
        <x:v>1</x:v>
      </x:c>
      <x:c r="D231" t="str">
        <x:v>ComStar</x:v>
      </x:c>
      <x:c r="E231" t="str">
        <x:v>’Mech Level II (6 ’Mechs)</x:v>
      </x:c>
      <x:c r="F231" t="n">
        <x:v>1</x:v>
      </x:c>
      <x:c r="G231" t="str">
        <x:v>Iota</x:v>
      </x:c>
      <x:c r="H231" t="str">
        <x:v>Level II</x:v>
      </x:c>
      <x:c r="I231" t="str">
        <x:v>ComStar Formations — designation and Level II guidance</x:v>
      </x:c>
      <x:c r="J231" t="str">
        <x:v>Level II weight → formation type → ComStar ’Mechs RAT</x:v>
      </x:c>
      <x:c r="K231" t="str">
        <x:v>Ready for Level II roll</x:v>
      </x:c>
      <x:c r="L231" t="str">
        <x:v>Iota suggests 19 ’Mechs total; this slot represents 6. Counts are contextual and FP/BV/PV remain the limits.</x:v>
      </x:c>
    </x:row>
    <x:row r="232">
      <x:c r="A232" t="str">
        <x:v>Seventy-eighth Division “Vigorous Defiance”|2</x:v>
      </x:c>
      <x:c r="B232" t="str">
        <x:v>Seventy-eighth Division “Vigorous Defiance”</x:v>
      </x:c>
      <x:c r="C232" t="n">
        <x:v>2</x:v>
      </x:c>
      <x:c r="D232" t="str">
        <x:v>ComStar</x:v>
      </x:c>
      <x:c r="E232" t="str">
        <x:v>’Mech Level II (6 ’Mechs)</x:v>
      </x:c>
      <x:c r="F232" t="n">
        <x:v>1</x:v>
      </x:c>
      <x:c r="G232" t="str">
        <x:v>Iota</x:v>
      </x:c>
      <x:c r="H232" t="str">
        <x:v>Level II</x:v>
      </x:c>
      <x:c r="I232" t="str">
        <x:v>ComStar Formations — designation and Level II guidance</x:v>
      </x:c>
      <x:c r="J232" t="str">
        <x:v>Level II weight → formation type → ComStar ’Mechs RAT</x:v>
      </x:c>
      <x:c r="K232" t="str">
        <x:v>Ready for Level II roll</x:v>
      </x:c>
      <x:c r="L232" t="str">
        <x:v>Iota suggests 19 ’Mechs total; this slot represents 6. Counts are contextual and FP/BV/PV remain the limits.</x:v>
      </x:c>
    </x:row>
    <x:row r="233">
      <x:c r="A233" t="str">
        <x:v>Seventy-eighth Division “Vigorous Defiance”|3</x:v>
      </x:c>
      <x:c r="B233" t="str">
        <x:v>Seventy-eighth Division “Vigorous Defiance”</x:v>
      </x:c>
      <x:c r="C233" t="n">
        <x:v>3</x:v>
      </x:c>
      <x:c r="D233" t="str">
        <x:v>ComStar</x:v>
      </x:c>
      <x:c r="E233" t="str">
        <x:v>’Mech Level II (6 ’Mechs)</x:v>
      </x:c>
      <x:c r="F233" t="n">
        <x:v>1</x:v>
      </x:c>
      <x:c r="G233" t="str">
        <x:v>Iota</x:v>
      </x:c>
      <x:c r="H233" t="str">
        <x:v>Level II</x:v>
      </x:c>
      <x:c r="I233" t="str">
        <x:v>ComStar Formations — designation and Level II guidance</x:v>
      </x:c>
      <x:c r="J233" t="str">
        <x:v>Level II weight → formation type → ComStar ’Mechs RAT</x:v>
      </x:c>
      <x:c r="K233" t="str">
        <x:v>Ready for Level II roll</x:v>
      </x:c>
      <x:c r="L233" t="str">
        <x:v>Iota suggests 19 ’Mechs total; this slot represents 6. Counts are contextual and FP/BV/PV remain the limits.</x:v>
      </x:c>
    </x:row>
    <x:row r="234">
      <x:c r="A234" t="str">
        <x:v>Seventy-eighth Division “Vigorous Defiance”|4</x:v>
      </x:c>
      <x:c r="B234" t="str">
        <x:v>Seventy-eighth Division “Vigorous Defiance”</x:v>
      </x:c>
      <x:c r="C234" t="n">
        <x:v>4</x:v>
      </x:c>
      <x:c r="D234" t="str">
        <x:v>ComStar</x:v>
      </x:c>
      <x:c r="E234" t="str">
        <x:v>Partial ’Mech Level II (1 ’Mechs)</x:v>
      </x:c>
      <x:c r="F234" t="n">
        <x:v>1</x:v>
      </x:c>
      <x:c r="G234" t="str">
        <x:v>Iota</x:v>
      </x:c>
      <x:c r="H234" t="str">
        <x:v>Partial Level II</x:v>
      </x:c>
      <x:c r="I234" t="str">
        <x:v>ComStar Formations — designation and Level II guidance</x:v>
      </x:c>
      <x:c r="J234" t="str">
        <x:v>Level II weight → formation type → ComStar ’Mechs RAT</x:v>
      </x:c>
      <x:c r="K234" t="str">
        <x:v>Ready for Level II roll</x:v>
      </x:c>
      <x:c r="L234" t="str">
        <x:v>Iota suggests 19 ’Mechs total; this slot represents 1. Counts are contextual and FP/BV/PV remain the limits.</x:v>
      </x:c>
    </x:row>
    <x:row r="235">
      <x:c r="A235" t="str">
        <x:v>Seventy-eighth Division “Vigorous Defiance”|5</x:v>
      </x:c>
      <x:c r="B235" t="str">
        <x:v>Seventy-eighth Division “Vigorous Defiance”</x:v>
      </x:c>
      <x:c r="C235" t="n">
        <x:v>5</x:v>
      </x:c>
      <x:c r="D235" t="str">
        <x:v>ComStar</x:v>
      </x:c>
      <x:c r="E235" t="str">
        <x:v>Reserved for Combat Vehicles, Infantry, and Aerospace</x:v>
      </x:c>
      <x:c r="F235"/>
      <x:c r="G235" t="str">
        <x:v>Iota</x:v>
      </x:c>
      <x:c r="H235" t="str">
        <x:v>Support allocation</x:v>
      </x:c>
      <x:c r="I235" t="str">
        <x:v>ComStar designation composition — contextual guidance</x:v>
      </x:c>
      <x:c r="J235" t="str">
        <x:v>Not rolled in the current ’Mech stage</x:v>
      </x:c>
      <x:c r="K235" t="str">
        <x:v>Reserved — not rolled</x:v>
      </x:c>
      <x:c r="L235" t="str">
        <x:v>Iota guidance includes 4 combat vehicles, 7 infantry, and 6 aerospace.</x:v>
      </x:c>
    </x:row>
    <x:row r="236">
      <x:c r="A236" t="str">
        <x:v>Seventy-eighth Division “Vigorous Defiance”|6</x:v>
      </x:c>
      <x:c r="B236" t="str">
        <x:v>Seventy-eighth Division “Vigorous Defiance”</x:v>
      </x:c>
      <x:c r="C236" t="n">
        <x:v>6</x:v>
      </x:c>
      <x:c r="D236" t="str">
        <x:v>ComStar</x:v>
      </x:c>
      <x:c r="E236" t="str">
        <x:v>Reserved for Combat Vehicles, Infantry, and Aerospace</x:v>
      </x:c>
      <x:c r="F236"/>
      <x:c r="G236" t="str">
        <x:v>Iota</x:v>
      </x:c>
      <x:c r="H236" t="str">
        <x:v>Support allocation</x:v>
      </x:c>
      <x:c r="I236" t="str">
        <x:v>ComStar designation composition — contextual guidance</x:v>
      </x:c>
      <x:c r="J236" t="str">
        <x:v>Not rolled in the current ’Mech stage</x:v>
      </x:c>
      <x:c r="K236" t="str">
        <x:v>Reserved — not rolled</x:v>
      </x:c>
      <x:c r="L236" t="str">
        <x:v>Iota guidance includes 4 combat vehicles, 7 infantry, and 6 aerospace.</x:v>
      </x:c>
    </x:row>
    <x:row r="237">
      <x:c r="A237" t="str">
        <x:v>386th Division “The Victors”|1</x:v>
      </x:c>
      <x:c r="B237" t="str">
        <x:v>386th Division “The Victors”</x:v>
      </x:c>
      <x:c r="C237" t="n">
        <x:v>1</x:v>
      </x:c>
      <x:c r="D237" t="str">
        <x:v>ComStar</x:v>
      </x:c>
      <x:c r="E237" t="str">
        <x:v>’Mech Level II (6 ’Mechs)</x:v>
      </x:c>
      <x:c r="F237" t="n">
        <x:v>1</x:v>
      </x:c>
      <x:c r="G237" t="str">
        <x:v>Kappa</x:v>
      </x:c>
      <x:c r="H237" t="str">
        <x:v>Level II</x:v>
      </x:c>
      <x:c r="I237" t="str">
        <x:v>ComStar Formations — designation and Level II guidance</x:v>
      </x:c>
      <x:c r="J237" t="str">
        <x:v>Level II weight → formation type → ComStar ’Mechs RAT</x:v>
      </x:c>
      <x:c r="K237" t="str">
        <x:v>Ready for Level II roll</x:v>
      </x:c>
      <x:c r="L237" t="str">
        <x:v>Kappa suggests 18 ’Mechs total; this slot represents 6. Counts are contextual and FP/BV/PV remain the limits.</x:v>
      </x:c>
    </x:row>
    <x:row r="238">
      <x:c r="A238" t="str">
        <x:v>386th Division “The Victors”|2</x:v>
      </x:c>
      <x:c r="B238" t="str">
        <x:v>386th Division “The Victors”</x:v>
      </x:c>
      <x:c r="C238" t="n">
        <x:v>2</x:v>
      </x:c>
      <x:c r="D238" t="str">
        <x:v>ComStar</x:v>
      </x:c>
      <x:c r="E238" t="str">
        <x:v>’Mech Level II (6 ’Mechs)</x:v>
      </x:c>
      <x:c r="F238" t="n">
        <x:v>1</x:v>
      </x:c>
      <x:c r="G238" t="str">
        <x:v>Kappa</x:v>
      </x:c>
      <x:c r="H238" t="str">
        <x:v>Level II</x:v>
      </x:c>
      <x:c r="I238" t="str">
        <x:v>ComStar Formations — designation and Level II guidance</x:v>
      </x:c>
      <x:c r="J238" t="str">
        <x:v>Level II weight → formation type → ComStar ’Mechs RAT</x:v>
      </x:c>
      <x:c r="K238" t="str">
        <x:v>Ready for Level II roll</x:v>
      </x:c>
      <x:c r="L238" t="str">
        <x:v>Kappa suggests 18 ’Mechs total; this slot represents 6. Counts are contextual and FP/BV/PV remain the limits.</x:v>
      </x:c>
    </x:row>
    <x:row r="239">
      <x:c r="A239" t="str">
        <x:v>386th Division “The Victors”|3</x:v>
      </x:c>
      <x:c r="B239" t="str">
        <x:v>386th Division “The Victors”</x:v>
      </x:c>
      <x:c r="C239" t="n">
        <x:v>3</x:v>
      </x:c>
      <x:c r="D239" t="str">
        <x:v>ComStar</x:v>
      </x:c>
      <x:c r="E239" t="str">
        <x:v>’Mech Level II (6 ’Mechs)</x:v>
      </x:c>
      <x:c r="F239" t="n">
        <x:v>1</x:v>
      </x:c>
      <x:c r="G239" t="str">
        <x:v>Kappa</x:v>
      </x:c>
      <x:c r="H239" t="str">
        <x:v>Level II</x:v>
      </x:c>
      <x:c r="I239" t="str">
        <x:v>ComStar Formations — designation and Level II guidance</x:v>
      </x:c>
      <x:c r="J239" t="str">
        <x:v>Level II weight → formation type → ComStar ’Mechs RAT</x:v>
      </x:c>
      <x:c r="K239" t="str">
        <x:v>Ready for Level II roll</x:v>
      </x:c>
      <x:c r="L239" t="str">
        <x:v>Kappa suggests 18 ’Mechs total; this slot represents 6. Counts are contextual and FP/BV/PV remain the limits.</x:v>
      </x:c>
    </x:row>
    <x:row r="240">
      <x:c r="A240" t="str">
        <x:v>386th Division “The Victors”|4</x:v>
      </x:c>
      <x:c r="B240" t="str">
        <x:v>386th Division “The Victors”</x:v>
      </x:c>
      <x:c r="C240" t="n">
        <x:v>4</x:v>
      </x:c>
      <x:c r="D240" t="str">
        <x:v>ComStar</x:v>
      </x:c>
      <x:c r="E240" t="str">
        <x:v>Reserved for Combat Vehicles, Infantry, and Aerospace</x:v>
      </x:c>
      <x:c r="F240"/>
      <x:c r="G240" t="str">
        <x:v>Kappa</x:v>
      </x:c>
      <x:c r="H240" t="str">
        <x:v>Support allocation</x:v>
      </x:c>
      <x:c r="I240" t="str">
        <x:v>ComStar designation composition — contextual guidance</x:v>
      </x:c>
      <x:c r="J240" t="str">
        <x:v>Not rolled in the current ’Mech stage</x:v>
      </x:c>
      <x:c r="K240" t="str">
        <x:v>Reserved — not rolled</x:v>
      </x:c>
      <x:c r="L240" t="str">
        <x:v>Kappa guidance includes 4 combat vehicles, 8 infantry, and 6 aerospace.</x:v>
      </x:c>
    </x:row>
    <x:row r="241">
      <x:c r="A241" t="str">
        <x:v>386th Division “The Victors”|5</x:v>
      </x:c>
      <x:c r="B241" t="str">
        <x:v>386th Division “The Victors”</x:v>
      </x:c>
      <x:c r="C241" t="n">
        <x:v>5</x:v>
      </x:c>
      <x:c r="D241" t="str">
        <x:v>ComStar</x:v>
      </x:c>
      <x:c r="E241" t="str">
        <x:v>Reserved for Combat Vehicles, Infantry, and Aerospace</x:v>
      </x:c>
      <x:c r="F241"/>
      <x:c r="G241" t="str">
        <x:v>Kappa</x:v>
      </x:c>
      <x:c r="H241" t="str">
        <x:v>Support allocation</x:v>
      </x:c>
      <x:c r="I241" t="str">
        <x:v>ComStar designation composition — contextual guidance</x:v>
      </x:c>
      <x:c r="J241" t="str">
        <x:v>Not rolled in the current ’Mech stage</x:v>
      </x:c>
      <x:c r="K241" t="str">
        <x:v>Reserved — not rolled</x:v>
      </x:c>
      <x:c r="L241" t="str">
        <x:v>Kappa guidance includes 4 combat vehicles, 8 infantry, and 6 aerospace.</x:v>
      </x:c>
    </x:row>
    <x:row r="242">
      <x:c r="A242" t="str">
        <x:v>386th Division “The Victors”|6</x:v>
      </x:c>
      <x:c r="B242" t="str">
        <x:v>386th Division “The Victors”</x:v>
      </x:c>
      <x:c r="C242" t="n">
        <x:v>6</x:v>
      </x:c>
      <x:c r="D242" t="str">
        <x:v>ComStar</x:v>
      </x:c>
      <x:c r="E242" t="str">
        <x:v>Reserved for Combat Vehicles, Infantry, and Aerospace</x:v>
      </x:c>
      <x:c r="F242"/>
      <x:c r="G242" t="str">
        <x:v>Kappa</x:v>
      </x:c>
      <x:c r="H242" t="str">
        <x:v>Support allocation</x:v>
      </x:c>
      <x:c r="I242" t="str">
        <x:v>ComStar designation composition — contextual guidance</x:v>
      </x:c>
      <x:c r="J242" t="str">
        <x:v>Not rolled in the current ’Mech stage</x:v>
      </x:c>
      <x:c r="K242" t="str">
        <x:v>Reserved — not rolled</x:v>
      </x:c>
      <x:c r="L242" t="str">
        <x:v>Kappa guidance includes 4 combat vehicles, 8 infantry, and 6 aerospace.</x:v>
      </x:c>
    </x:row>
    <x:row r="243">
      <x:c r="A243" t="str">
        <x:v>Ninth Division “Bountiful Words”|1</x:v>
      </x:c>
      <x:c r="B243" t="str">
        <x:v>Ninth Division “Bountiful Words”</x:v>
      </x:c>
      <x:c r="C243" t="n">
        <x:v>1</x:v>
      </x:c>
      <x:c r="D243" t="str">
        <x:v>ComStar</x:v>
      </x:c>
      <x:c r="E243" t="str">
        <x:v>’Mech Level II (6 ’Mechs)</x:v>
      </x:c>
      <x:c r="F243" t="n">
        <x:v>1</x:v>
      </x:c>
      <x:c r="G243" t="str">
        <x:v>Mu</x:v>
      </x:c>
      <x:c r="H243" t="str">
        <x:v>Level II</x:v>
      </x:c>
      <x:c r="I243" t="str">
        <x:v>ComStar Formations — designation and Level II guidance</x:v>
      </x:c>
      <x:c r="J243" t="str">
        <x:v>Level II weight → formation type → ComStar ’Mechs RAT</x:v>
      </x:c>
      <x:c r="K243" t="str">
        <x:v>Ready for Level II roll</x:v>
      </x:c>
      <x:c r="L243" t="str">
        <x:v>Mu suggests 16 ’Mechs total; this slot represents 6. Counts are contextual and FP/BV/PV remain the limits.</x:v>
      </x:c>
    </x:row>
    <x:row r="244">
      <x:c r="A244" t="str">
        <x:v>Ninth Division “Bountiful Words”|2</x:v>
      </x:c>
      <x:c r="B244" t="str">
        <x:v>Ninth Division “Bountiful Words”</x:v>
      </x:c>
      <x:c r="C244" t="n">
        <x:v>2</x:v>
      </x:c>
      <x:c r="D244" t="str">
        <x:v>ComStar</x:v>
      </x:c>
      <x:c r="E244" t="str">
        <x:v>’Mech Level II (6 ’Mechs)</x:v>
      </x:c>
      <x:c r="F244" t="n">
        <x:v>1</x:v>
      </x:c>
      <x:c r="G244" t="str">
        <x:v>Mu</x:v>
      </x:c>
      <x:c r="H244" t="str">
        <x:v>Level II</x:v>
      </x:c>
      <x:c r="I244" t="str">
        <x:v>ComStar Formations — designation and Level II guidance</x:v>
      </x:c>
      <x:c r="J244" t="str">
        <x:v>Level II weight → formation type → ComStar ’Mechs RAT</x:v>
      </x:c>
      <x:c r="K244" t="str">
        <x:v>Ready for Level II roll</x:v>
      </x:c>
      <x:c r="L244" t="str">
        <x:v>Mu suggests 16 ’Mechs total; this slot represents 6. Counts are contextual and FP/BV/PV remain the limits.</x:v>
      </x:c>
    </x:row>
    <x:row r="245">
      <x:c r="A245" t="str">
        <x:v>Ninth Division “Bountiful Words”|3</x:v>
      </x:c>
      <x:c r="B245" t="str">
        <x:v>Ninth Division “Bountiful Words”</x:v>
      </x:c>
      <x:c r="C245" t="n">
        <x:v>3</x:v>
      </x:c>
      <x:c r="D245" t="str">
        <x:v>ComStar</x:v>
      </x:c>
      <x:c r="E245" t="str">
        <x:v>Partial ’Mech Level II (4 ’Mechs)</x:v>
      </x:c>
      <x:c r="F245" t="n">
        <x:v>1</x:v>
      </x:c>
      <x:c r="G245" t="str">
        <x:v>Mu</x:v>
      </x:c>
      <x:c r="H245" t="str">
        <x:v>Partial Level II</x:v>
      </x:c>
      <x:c r="I245" t="str">
        <x:v>ComStar Formations — designation and Level II guidance</x:v>
      </x:c>
      <x:c r="J245" t="str">
        <x:v>Level II weight → formation type → ComStar ’Mechs RAT</x:v>
      </x:c>
      <x:c r="K245" t="str">
        <x:v>Ready for Level II roll</x:v>
      </x:c>
      <x:c r="L245" t="str">
        <x:v>Mu suggests 16 ’Mechs total; this slot represents 4. Counts are contextual and FP/BV/PV remain the limits.</x:v>
      </x:c>
    </x:row>
    <x:row r="246">
      <x:c r="A246" t="str">
        <x:v>Ninth Division “Bountiful Words”|4</x:v>
      </x:c>
      <x:c r="B246" t="str">
        <x:v>Ninth Division “Bountiful Words”</x:v>
      </x:c>
      <x:c r="C246" t="n">
        <x:v>4</x:v>
      </x:c>
      <x:c r="D246" t="str">
        <x:v>ComStar</x:v>
      </x:c>
      <x:c r="E246" t="str">
        <x:v>Reserved for Combat Vehicles, Infantry, and Aerospace</x:v>
      </x:c>
      <x:c r="F246"/>
      <x:c r="G246" t="str">
        <x:v>Mu</x:v>
      </x:c>
      <x:c r="H246" t="str">
        <x:v>Support allocation</x:v>
      </x:c>
      <x:c r="I246" t="str">
        <x:v>ComStar designation composition — contextual guidance</x:v>
      </x:c>
      <x:c r="J246" t="str">
        <x:v>Not rolled in the current ’Mech stage</x:v>
      </x:c>
      <x:c r="K246" t="str">
        <x:v>Reserved — not rolled</x:v>
      </x:c>
      <x:c r="L246" t="str">
        <x:v>Mu guidance includes 5 combat vehicles, 9 infantry, and 6 aerospace.</x:v>
      </x:c>
    </x:row>
    <x:row r="247">
      <x:c r="A247" t="str">
        <x:v>Ninth Division “Bountiful Words”|5</x:v>
      </x:c>
      <x:c r="B247" t="str">
        <x:v>Ninth Division “Bountiful Words”</x:v>
      </x:c>
      <x:c r="C247" t="n">
        <x:v>5</x:v>
      </x:c>
      <x:c r="D247" t="str">
        <x:v>ComStar</x:v>
      </x:c>
      <x:c r="E247" t="str">
        <x:v>Reserved for Combat Vehicles, Infantry, and Aerospace</x:v>
      </x:c>
      <x:c r="F247"/>
      <x:c r="G247" t="str">
        <x:v>Mu</x:v>
      </x:c>
      <x:c r="H247" t="str">
        <x:v>Support allocation</x:v>
      </x:c>
      <x:c r="I247" t="str">
        <x:v>ComStar designation composition — contextual guidance</x:v>
      </x:c>
      <x:c r="J247" t="str">
        <x:v>Not rolled in the current ’Mech stage</x:v>
      </x:c>
      <x:c r="K247" t="str">
        <x:v>Reserved — not rolled</x:v>
      </x:c>
      <x:c r="L247" t="str">
        <x:v>Mu guidance includes 5 combat vehicles, 9 infantry, and 6 aerospace.</x:v>
      </x:c>
    </x:row>
    <x:row r="248">
      <x:c r="A248" t="str">
        <x:v>Ninth Division “Bountiful Words”|6</x:v>
      </x:c>
      <x:c r="B248" t="str">
        <x:v>Ninth Division “Bountiful Words”</x:v>
      </x:c>
      <x:c r="C248" t="n">
        <x:v>6</x:v>
      </x:c>
      <x:c r="D248" t="str">
        <x:v>ComStar</x:v>
      </x:c>
      <x:c r="E248" t="str">
        <x:v>Reserved for Combat Vehicles, Infantry, and Aerospace</x:v>
      </x:c>
      <x:c r="F248"/>
      <x:c r="G248" t="str">
        <x:v>Mu</x:v>
      </x:c>
      <x:c r="H248" t="str">
        <x:v>Support allocation</x:v>
      </x:c>
      <x:c r="I248" t="str">
        <x:v>ComStar designation composition — contextual guidance</x:v>
      </x:c>
      <x:c r="J248" t="str">
        <x:v>Not rolled in the current ’Mech stage</x:v>
      </x:c>
      <x:c r="K248" t="str">
        <x:v>Reserved — not rolled</x:v>
      </x:c>
      <x:c r="L248" t="str">
        <x:v>Mu guidance includes 5 combat vehicles, 9 infantry, and 6 aerospace.</x:v>
      </x:c>
    </x:row>
    <x:row r="249">
      <x:c r="A249" t="str">
        <x:v>244th Division “Peace Through Words”|1</x:v>
      </x:c>
      <x:c r="B249" t="str">
        <x:v>244th Division “Peace Through Words”</x:v>
      </x:c>
      <x:c r="C249" t="n">
        <x:v>1</x:v>
      </x:c>
      <x:c r="D249" t="str">
        <x:v>ComStar</x:v>
      </x:c>
      <x:c r="E249" t="str">
        <x:v>’Mech Level II (6 ’Mechs)</x:v>
      </x:c>
      <x:c r="F249" t="n">
        <x:v>1</x:v>
      </x:c>
      <x:c r="G249" t="str">
        <x:v>Rho</x:v>
      </x:c>
      <x:c r="H249" t="str">
        <x:v>Level II</x:v>
      </x:c>
      <x:c r="I249" t="str">
        <x:v>ComStar Formations — designation and Level II guidance</x:v>
      </x:c>
      <x:c r="J249" t="str">
        <x:v>Level II weight → formation type → ComStar ’Mechs RAT</x:v>
      </x:c>
      <x:c r="K249" t="str">
        <x:v>Ready for Level II roll</x:v>
      </x:c>
      <x:c r="L249" t="str">
        <x:v>Rho suggests 10 ’Mechs total; this slot represents 6. Counts are contextual and FP/BV/PV remain the limits.</x:v>
      </x:c>
    </x:row>
    <x:row r="250">
      <x:c r="A250" t="str">
        <x:v>244th Division “Peace Through Words”|2</x:v>
      </x:c>
      <x:c r="B250" t="str">
        <x:v>244th Division “Peace Through Words”</x:v>
      </x:c>
      <x:c r="C250" t="n">
        <x:v>2</x:v>
      </x:c>
      <x:c r="D250" t="str">
        <x:v>ComStar</x:v>
      </x:c>
      <x:c r="E250" t="str">
        <x:v>Partial ’Mech Level II (4 ’Mechs)</x:v>
      </x:c>
      <x:c r="F250" t="n">
        <x:v>1</x:v>
      </x:c>
      <x:c r="G250" t="str">
        <x:v>Rho</x:v>
      </x:c>
      <x:c r="H250" t="str">
        <x:v>Partial Level II</x:v>
      </x:c>
      <x:c r="I250" t="str">
        <x:v>ComStar Formations — designation and Level II guidance</x:v>
      </x:c>
      <x:c r="J250" t="str">
        <x:v>Level II weight → formation type → ComStar ’Mechs RAT</x:v>
      </x:c>
      <x:c r="K250" t="str">
        <x:v>Ready for Level II roll</x:v>
      </x:c>
      <x:c r="L250" t="str">
        <x:v>Rho suggests 10 ’Mechs total; this slot represents 4. Counts are contextual and FP/BV/PV remain the limits.</x:v>
      </x:c>
    </x:row>
    <x:row r="251">
      <x:c r="A251" t="str">
        <x:v>244th Division “Peace Through Words”|3</x:v>
      </x:c>
      <x:c r="B251" t="str">
        <x:v>244th Division “Peace Through Words”</x:v>
      </x:c>
      <x:c r="C251" t="n">
        <x:v>3</x:v>
      </x:c>
      <x:c r="D251" t="str">
        <x:v>ComStar</x:v>
      </x:c>
      <x:c r="E251" t="str">
        <x:v>Reserved for Combat Vehicles, Infantry, and Aerospace</x:v>
      </x:c>
      <x:c r="F251"/>
      <x:c r="G251" t="str">
        <x:v>Rho</x:v>
      </x:c>
      <x:c r="H251" t="str">
        <x:v>Support allocation</x:v>
      </x:c>
      <x:c r="I251" t="str">
        <x:v>ComStar designation composition — contextual guidance</x:v>
      </x:c>
      <x:c r="J251" t="str">
        <x:v>Not rolled in the current ’Mech stage</x:v>
      </x:c>
      <x:c r="K251" t="str">
        <x:v>Reserved — not rolled</x:v>
      </x:c>
      <x:c r="L251" t="str">
        <x:v>Rho guidance includes 7 combat vehicles, 13 infantry, and 6 aerospace.</x:v>
      </x:c>
    </x:row>
    <x:row r="252">
      <x:c r="A252" t="str">
        <x:v>244th Division “Peace Through Words”|4</x:v>
      </x:c>
      <x:c r="B252" t="str">
        <x:v>244th Division “Peace Through Words”</x:v>
      </x:c>
      <x:c r="C252" t="n">
        <x:v>4</x:v>
      </x:c>
      <x:c r="D252" t="str">
        <x:v>ComStar</x:v>
      </x:c>
      <x:c r="E252" t="str">
        <x:v>Reserved for Combat Vehicles, Infantry, and Aerospace</x:v>
      </x:c>
      <x:c r="F252"/>
      <x:c r="G252" t="str">
        <x:v>Rho</x:v>
      </x:c>
      <x:c r="H252" t="str">
        <x:v>Support allocation</x:v>
      </x:c>
      <x:c r="I252" t="str">
        <x:v>ComStar designation composition — contextual guidance</x:v>
      </x:c>
      <x:c r="J252" t="str">
        <x:v>Not rolled in the current ’Mech stage</x:v>
      </x:c>
      <x:c r="K252" t="str">
        <x:v>Reserved — not rolled</x:v>
      </x:c>
      <x:c r="L252" t="str">
        <x:v>Rho guidance includes 7 combat vehicles, 13 infantry, and 6 aerospace.</x:v>
      </x:c>
    </x:row>
    <x:row r="253">
      <x:c r="A253" t="str">
        <x:v>244th Division “Peace Through Words”|5</x:v>
      </x:c>
      <x:c r="B253" t="str">
        <x:v>244th Division “Peace Through Words”</x:v>
      </x:c>
      <x:c r="C253" t="n">
        <x:v>5</x:v>
      </x:c>
      <x:c r="D253" t="str">
        <x:v>ComStar</x:v>
      </x:c>
      <x:c r="E253" t="str">
        <x:v>Reserved for Combat Vehicles, Infantry, and Aerospace</x:v>
      </x:c>
      <x:c r="F253"/>
      <x:c r="G253" t="str">
        <x:v>Rho</x:v>
      </x:c>
      <x:c r="H253" t="str">
        <x:v>Support allocation</x:v>
      </x:c>
      <x:c r="I253" t="str">
        <x:v>ComStar designation composition — contextual guidance</x:v>
      </x:c>
      <x:c r="J253" t="str">
        <x:v>Not rolled in the current ’Mech stage</x:v>
      </x:c>
      <x:c r="K253" t="str">
        <x:v>Reserved — not rolled</x:v>
      </x:c>
      <x:c r="L253" t="str">
        <x:v>Rho guidance includes 7 combat vehicles, 13 infantry, and 6 aerospace.</x:v>
      </x:c>
    </x:row>
    <x:row r="254">
      <x:c r="A254" t="str">
        <x:v>244th Division “Peace Through Words”|6</x:v>
      </x:c>
      <x:c r="B254" t="str">
        <x:v>244th Division “Peace Through Words”</x:v>
      </x:c>
      <x:c r="C254" t="n">
        <x:v>6</x:v>
      </x:c>
      <x:c r="D254" t="str">
        <x:v>ComStar</x:v>
      </x:c>
      <x:c r="E254" t="str">
        <x:v>Reserved for Combat Vehicles, Infantry, and Aerospace</x:v>
      </x:c>
      <x:c r="F254"/>
      <x:c r="G254" t="str">
        <x:v>Rho</x:v>
      </x:c>
      <x:c r="H254" t="str">
        <x:v>Support allocation</x:v>
      </x:c>
      <x:c r="I254" t="str">
        <x:v>ComStar designation composition — contextual guidance</x:v>
      </x:c>
      <x:c r="J254" t="str">
        <x:v>Not rolled in the current ’Mech stage</x:v>
      </x:c>
      <x:c r="K254" t="str">
        <x:v>Reserved — not rolled</x:v>
      </x:c>
      <x:c r="L254" t="str">
        <x:v>Rho guidance includes 7 combat vehicles, 13 infantry, and 6 aerospace.</x:v>
      </x:c>
    </x:row>
    <x:row r="255">
      <x:c r="A255" t="str">
        <x:v>417th Division “Major Trouble”|1</x:v>
      </x:c>
      <x:c r="B255" t="str">
        <x:v>417th Division “Major Trouble”</x:v>
      </x:c>
      <x:c r="C255" t="n">
        <x:v>1</x:v>
      </x:c>
      <x:c r="D255" t="str">
        <x:v>ComStar</x:v>
      </x:c>
      <x:c r="E255" t="str">
        <x:v>’Mech Level II (6 ’Mechs)</x:v>
      </x:c>
      <x:c r="F255" t="n">
        <x:v>1</x:v>
      </x:c>
      <x:c r="G255" t="str">
        <x:v>Lambda</x:v>
      </x:c>
      <x:c r="H255" t="str">
        <x:v>Level II</x:v>
      </x:c>
      <x:c r="I255" t="str">
        <x:v>ComStar Formations — designation and Level II guidance</x:v>
      </x:c>
      <x:c r="J255" t="str">
        <x:v>Level II weight → formation type → ComStar ’Mechs RAT</x:v>
      </x:c>
      <x:c r="K255" t="str">
        <x:v>Ready for Level II roll</x:v>
      </x:c>
      <x:c r="L255" t="str">
        <x:v>Lambda suggests 17 ’Mechs total; this slot represents 6. Counts are contextual and FP/BV/PV remain the limits.</x:v>
      </x:c>
    </x:row>
    <x:row r="256">
      <x:c r="A256" t="str">
        <x:v>417th Division “Major Trouble”|2</x:v>
      </x:c>
      <x:c r="B256" t="str">
        <x:v>417th Division “Major Trouble”</x:v>
      </x:c>
      <x:c r="C256" t="n">
        <x:v>2</x:v>
      </x:c>
      <x:c r="D256" t="str">
        <x:v>ComStar</x:v>
      </x:c>
      <x:c r="E256" t="str">
        <x:v>’Mech Level II (6 ’Mechs)</x:v>
      </x:c>
      <x:c r="F256" t="n">
        <x:v>1</x:v>
      </x:c>
      <x:c r="G256" t="str">
        <x:v>Lambda</x:v>
      </x:c>
      <x:c r="H256" t="str">
        <x:v>Level II</x:v>
      </x:c>
      <x:c r="I256" t="str">
        <x:v>ComStar Formations — designation and Level II guidance</x:v>
      </x:c>
      <x:c r="J256" t="str">
        <x:v>Level II weight → formation type → ComStar ’Mechs RAT</x:v>
      </x:c>
      <x:c r="K256" t="str">
        <x:v>Ready for Level II roll</x:v>
      </x:c>
      <x:c r="L256" t="str">
        <x:v>Lambda suggests 17 ’Mechs total; this slot represents 6. Counts are contextual and FP/BV/PV remain the limits.</x:v>
      </x:c>
    </x:row>
    <x:row r="257">
      <x:c r="A257" t="str">
        <x:v>417th Division “Major Trouble”|3</x:v>
      </x:c>
      <x:c r="B257" t="str">
        <x:v>417th Division “Major Trouble”</x:v>
      </x:c>
      <x:c r="C257" t="n">
        <x:v>3</x:v>
      </x:c>
      <x:c r="D257" t="str">
        <x:v>ComStar</x:v>
      </x:c>
      <x:c r="E257" t="str">
        <x:v>Partial ’Mech Level II (5 ’Mechs)</x:v>
      </x:c>
      <x:c r="F257" t="n">
        <x:v>1</x:v>
      </x:c>
      <x:c r="G257" t="str">
        <x:v>Lambda</x:v>
      </x:c>
      <x:c r="H257" t="str">
        <x:v>Partial Level II</x:v>
      </x:c>
      <x:c r="I257" t="str">
        <x:v>ComStar Formations — designation and Level II guidance</x:v>
      </x:c>
      <x:c r="J257" t="str">
        <x:v>Level II weight → formation type → ComStar ’Mechs RAT</x:v>
      </x:c>
      <x:c r="K257" t="str">
        <x:v>Ready for Level II roll</x:v>
      </x:c>
      <x:c r="L257" t="str">
        <x:v>Lambda suggests 17 ’Mechs total; this slot represents 5. Counts are contextual and FP/BV/PV remain the limits.</x:v>
      </x:c>
    </x:row>
    <x:row r="258">
      <x:c r="A258" t="str">
        <x:v>417th Division “Major Trouble”|4</x:v>
      </x:c>
      <x:c r="B258" t="str">
        <x:v>417th Division “Major Trouble”</x:v>
      </x:c>
      <x:c r="C258" t="n">
        <x:v>4</x:v>
      </x:c>
      <x:c r="D258" t="str">
        <x:v>ComStar</x:v>
      </x:c>
      <x:c r="E258" t="str">
        <x:v>Reserved for Combat Vehicles, Infantry, and Aerospace</x:v>
      </x:c>
      <x:c r="F258"/>
      <x:c r="G258" t="str">
        <x:v>Lambda</x:v>
      </x:c>
      <x:c r="H258" t="str">
        <x:v>Support allocation</x:v>
      </x:c>
      <x:c r="I258" t="str">
        <x:v>ComStar designation composition — contextual guidance</x:v>
      </x:c>
      <x:c r="J258" t="str">
        <x:v>Not rolled in the current ’Mech stage</x:v>
      </x:c>
      <x:c r="K258" t="str">
        <x:v>Reserved — not rolled</x:v>
      </x:c>
      <x:c r="L258" t="str">
        <x:v>Lambda guidance includes 4 combat vehicles, 9 infantry, and 6 aerospace.</x:v>
      </x:c>
    </x:row>
    <x:row r="259">
      <x:c r="A259" t="str">
        <x:v>417th Division “Major Trouble”|5</x:v>
      </x:c>
      <x:c r="B259" t="str">
        <x:v>417th Division “Major Trouble”</x:v>
      </x:c>
      <x:c r="C259" t="n">
        <x:v>5</x:v>
      </x:c>
      <x:c r="D259" t="str">
        <x:v>ComStar</x:v>
      </x:c>
      <x:c r="E259" t="str">
        <x:v>Reserved for Combat Vehicles, Infantry, and Aerospace</x:v>
      </x:c>
      <x:c r="F259"/>
      <x:c r="G259" t="str">
        <x:v>Lambda</x:v>
      </x:c>
      <x:c r="H259" t="str">
        <x:v>Support allocation</x:v>
      </x:c>
      <x:c r="I259" t="str">
        <x:v>ComStar designation composition — contextual guidance</x:v>
      </x:c>
      <x:c r="J259" t="str">
        <x:v>Not rolled in the current ’Mech stage</x:v>
      </x:c>
      <x:c r="K259" t="str">
        <x:v>Reserved — not rolled</x:v>
      </x:c>
      <x:c r="L259" t="str">
        <x:v>Lambda guidance includes 4 combat vehicles, 9 infantry, and 6 aerospace.</x:v>
      </x:c>
    </x:row>
    <x:row r="260">
      <x:c r="A260" t="str">
        <x:v>417th Division “Major Trouble”|6</x:v>
      </x:c>
      <x:c r="B260" t="str">
        <x:v>417th Division “Major Trouble”</x:v>
      </x:c>
      <x:c r="C260" t="n">
        <x:v>6</x:v>
      </x:c>
      <x:c r="D260" t="str">
        <x:v>ComStar</x:v>
      </x:c>
      <x:c r="E260" t="str">
        <x:v>Reserved for Combat Vehicles, Infantry, and Aerospace</x:v>
      </x:c>
      <x:c r="F260"/>
      <x:c r="G260" t="str">
        <x:v>Lambda</x:v>
      </x:c>
      <x:c r="H260" t="str">
        <x:v>Support allocation</x:v>
      </x:c>
      <x:c r="I260" t="str">
        <x:v>ComStar designation composition — contextual guidance</x:v>
      </x:c>
      <x:c r="J260" t="str">
        <x:v>Not rolled in the current ’Mech stage</x:v>
      </x:c>
      <x:c r="K260" t="str">
        <x:v>Reserved — not rolled</x:v>
      </x:c>
      <x:c r="L260" t="str">
        <x:v>Lambda guidance includes 4 combat vehicles, 9 infantry, and 6 aerospace.</x:v>
      </x:c>
    </x:row>
    <x:row r="261">
      <x:c r="A261" t="str">
        <x:v>467th Division “Whirlwinds”|1</x:v>
      </x:c>
      <x:c r="B261" t="str">
        <x:v>467th Division “Whirlwinds”</x:v>
      </x:c>
      <x:c r="C261" t="n">
        <x:v>1</x:v>
      </x:c>
      <x:c r="D261" t="str">
        <x:v>ComStar</x:v>
      </x:c>
      <x:c r="E261" t="str">
        <x:v>’Mech Level II (6 ’Mechs)</x:v>
      </x:c>
      <x:c r="F261" t="n">
        <x:v>1</x:v>
      </x:c>
      <x:c r="G261" t="str">
        <x:v>Mu</x:v>
      </x:c>
      <x:c r="H261" t="str">
        <x:v>Level II</x:v>
      </x:c>
      <x:c r="I261" t="str">
        <x:v>ComStar Formations — designation and Level II guidance</x:v>
      </x:c>
      <x:c r="J261" t="str">
        <x:v>Level II weight → formation type → ComStar ’Mechs RAT</x:v>
      </x:c>
      <x:c r="K261" t="str">
        <x:v>Ready for Level II roll</x:v>
      </x:c>
      <x:c r="L261" t="str">
        <x:v>Mu suggests 16 ’Mechs total; this slot represents 6. Counts are contextual and FP/BV/PV remain the limits.</x:v>
      </x:c>
    </x:row>
    <x:row r="262">
      <x:c r="A262" t="str">
        <x:v>467th Division “Whirlwinds”|2</x:v>
      </x:c>
      <x:c r="B262" t="str">
        <x:v>467th Division “Whirlwinds”</x:v>
      </x:c>
      <x:c r="C262" t="n">
        <x:v>2</x:v>
      </x:c>
      <x:c r="D262" t="str">
        <x:v>ComStar</x:v>
      </x:c>
      <x:c r="E262" t="str">
        <x:v>’Mech Level II (6 ’Mechs)</x:v>
      </x:c>
      <x:c r="F262" t="n">
        <x:v>1</x:v>
      </x:c>
      <x:c r="G262" t="str">
        <x:v>Mu</x:v>
      </x:c>
      <x:c r="H262" t="str">
        <x:v>Level II</x:v>
      </x:c>
      <x:c r="I262" t="str">
        <x:v>ComStar Formations — designation and Level II guidance</x:v>
      </x:c>
      <x:c r="J262" t="str">
        <x:v>Level II weight → formation type → ComStar ’Mechs RAT</x:v>
      </x:c>
      <x:c r="K262" t="str">
        <x:v>Ready for Level II roll</x:v>
      </x:c>
      <x:c r="L262" t="str">
        <x:v>Mu suggests 16 ’Mechs total; this slot represents 6. Counts are contextual and FP/BV/PV remain the limits.</x:v>
      </x:c>
    </x:row>
    <x:row r="263">
      <x:c r="A263" t="str">
        <x:v>467th Division “Whirlwinds”|3</x:v>
      </x:c>
      <x:c r="B263" t="str">
        <x:v>467th Division “Whirlwinds”</x:v>
      </x:c>
      <x:c r="C263" t="n">
        <x:v>3</x:v>
      </x:c>
      <x:c r="D263" t="str">
        <x:v>ComStar</x:v>
      </x:c>
      <x:c r="E263" t="str">
        <x:v>Partial ’Mech Level II (4 ’Mechs)</x:v>
      </x:c>
      <x:c r="F263" t="n">
        <x:v>1</x:v>
      </x:c>
      <x:c r="G263" t="str">
        <x:v>Mu</x:v>
      </x:c>
      <x:c r="H263" t="str">
        <x:v>Partial Level II</x:v>
      </x:c>
      <x:c r="I263" t="str">
        <x:v>ComStar Formations — designation and Level II guidance</x:v>
      </x:c>
      <x:c r="J263" t="str">
        <x:v>Level II weight → formation type → ComStar ’Mechs RAT</x:v>
      </x:c>
      <x:c r="K263" t="str">
        <x:v>Ready for Level II roll</x:v>
      </x:c>
      <x:c r="L263" t="str">
        <x:v>Mu suggests 16 ’Mechs total; this slot represents 4. Counts are contextual and FP/BV/PV remain the limits.</x:v>
      </x:c>
    </x:row>
    <x:row r="264">
      <x:c r="A264" t="str">
        <x:v>467th Division “Whirlwinds”|4</x:v>
      </x:c>
      <x:c r="B264" t="str">
        <x:v>467th Division “Whirlwinds”</x:v>
      </x:c>
      <x:c r="C264" t="n">
        <x:v>4</x:v>
      </x:c>
      <x:c r="D264" t="str">
        <x:v>ComStar</x:v>
      </x:c>
      <x:c r="E264" t="str">
        <x:v>Reserved for Combat Vehicles, Infantry, and Aerospace</x:v>
      </x:c>
      <x:c r="F264"/>
      <x:c r="G264" t="str">
        <x:v>Mu</x:v>
      </x:c>
      <x:c r="H264" t="str">
        <x:v>Support allocation</x:v>
      </x:c>
      <x:c r="I264" t="str">
        <x:v>ComStar designation composition — contextual guidance</x:v>
      </x:c>
      <x:c r="J264" t="str">
        <x:v>Not rolled in the current ’Mech stage</x:v>
      </x:c>
      <x:c r="K264" t="str">
        <x:v>Reserved — not rolled</x:v>
      </x:c>
      <x:c r="L264" t="str">
        <x:v>Mu guidance includes 5 combat vehicles, 9 infantry, and 6 aerospace.</x:v>
      </x:c>
    </x:row>
    <x:row r="265">
      <x:c r="A265" t="str">
        <x:v>467th Division “Whirlwinds”|5</x:v>
      </x:c>
      <x:c r="B265" t="str">
        <x:v>467th Division “Whirlwinds”</x:v>
      </x:c>
      <x:c r="C265" t="n">
        <x:v>5</x:v>
      </x:c>
      <x:c r="D265" t="str">
        <x:v>ComStar</x:v>
      </x:c>
      <x:c r="E265" t="str">
        <x:v>Reserved for Combat Vehicles, Infantry, and Aerospace</x:v>
      </x:c>
      <x:c r="F265"/>
      <x:c r="G265" t="str">
        <x:v>Mu</x:v>
      </x:c>
      <x:c r="H265" t="str">
        <x:v>Support allocation</x:v>
      </x:c>
      <x:c r="I265" t="str">
        <x:v>ComStar designation composition — contextual guidance</x:v>
      </x:c>
      <x:c r="J265" t="str">
        <x:v>Not rolled in the current ’Mech stage</x:v>
      </x:c>
      <x:c r="K265" t="str">
        <x:v>Reserved — not rolled</x:v>
      </x:c>
      <x:c r="L265" t="str">
        <x:v>Mu guidance includes 5 combat vehicles, 9 infantry, and 6 aerospace.</x:v>
      </x:c>
    </x:row>
    <x:row r="266">
      <x:c r="A266" t="str">
        <x:v>467th Division “Whirlwinds”|6</x:v>
      </x:c>
      <x:c r="B266" t="str">
        <x:v>467th Division “Whirlwinds”</x:v>
      </x:c>
      <x:c r="C266" t="n">
        <x:v>6</x:v>
      </x:c>
      <x:c r="D266" t="str">
        <x:v>ComStar</x:v>
      </x:c>
      <x:c r="E266" t="str">
        <x:v>Reserved for Combat Vehicles, Infantry, and Aerospace</x:v>
      </x:c>
      <x:c r="F266"/>
      <x:c r="G266" t="str">
        <x:v>Mu</x:v>
      </x:c>
      <x:c r="H266" t="str">
        <x:v>Support allocation</x:v>
      </x:c>
      <x:c r="I266" t="str">
        <x:v>ComStar designation composition — contextual guidance</x:v>
      </x:c>
      <x:c r="J266" t="str">
        <x:v>Not rolled in the current ’Mech stage</x:v>
      </x:c>
      <x:c r="K266" t="str">
        <x:v>Reserved — not rolled</x:v>
      </x:c>
      <x:c r="L266" t="str">
        <x:v>Mu guidance includes 5 combat vehicles, 9 infantry, and 6 aerospace.</x:v>
      </x:c>
    </x:row>
    <x:row r="267">
      <x:c r="A267" t="str">
        <x:v>Seventy-seventh Division “The White Monsters”|1</x:v>
      </x:c>
      <x:c r="B267" t="str">
        <x:v>Seventy-seventh Division “The White Monsters”</x:v>
      </x:c>
      <x:c r="C267" t="n">
        <x:v>1</x:v>
      </x:c>
      <x:c r="D267" t="str">
        <x:v>ComStar</x:v>
      </x:c>
      <x:c r="E267" t="str">
        <x:v>’Mech Level II (6 ’Mechs)</x:v>
      </x:c>
      <x:c r="F267" t="n">
        <x:v>1</x:v>
      </x:c>
      <x:c r="G267" t="str">
        <x:v>Iota</x:v>
      </x:c>
      <x:c r="H267" t="str">
        <x:v>Level II</x:v>
      </x:c>
      <x:c r="I267" t="str">
        <x:v>ComStar Formations — designation and Level II guidance</x:v>
      </x:c>
      <x:c r="J267" t="str">
        <x:v>Level II weight → formation type → ComStar ’Mechs RAT</x:v>
      </x:c>
      <x:c r="K267" t="str">
        <x:v>Ready for Level II roll</x:v>
      </x:c>
      <x:c r="L267" t="str">
        <x:v>Iota suggests 19 ’Mechs total; this slot represents 6. Counts are contextual and FP/BV/PV remain the limits.</x:v>
      </x:c>
    </x:row>
    <x:row r="268">
      <x:c r="A268" t="str">
        <x:v>Seventy-seventh Division “The White Monsters”|2</x:v>
      </x:c>
      <x:c r="B268" t="str">
        <x:v>Seventy-seventh Division “The White Monsters”</x:v>
      </x:c>
      <x:c r="C268" t="n">
        <x:v>2</x:v>
      </x:c>
      <x:c r="D268" t="str">
        <x:v>ComStar</x:v>
      </x:c>
      <x:c r="E268" t="str">
        <x:v>’Mech Level II (6 ’Mechs)</x:v>
      </x:c>
      <x:c r="F268" t="n">
        <x:v>1</x:v>
      </x:c>
      <x:c r="G268" t="str">
        <x:v>Iota</x:v>
      </x:c>
      <x:c r="H268" t="str">
        <x:v>Level II</x:v>
      </x:c>
      <x:c r="I268" t="str">
        <x:v>ComStar Formations — designation and Level II guidance</x:v>
      </x:c>
      <x:c r="J268" t="str">
        <x:v>Level II weight → formation type → ComStar ’Mechs RAT</x:v>
      </x:c>
      <x:c r="K268" t="str">
        <x:v>Ready for Level II roll</x:v>
      </x:c>
      <x:c r="L268" t="str">
        <x:v>Iota suggests 19 ’Mechs total; this slot represents 6. Counts are contextual and FP/BV/PV remain the limits.</x:v>
      </x:c>
    </x:row>
    <x:row r="269">
      <x:c r="A269" t="str">
        <x:v>Seventy-seventh Division “The White Monsters”|3</x:v>
      </x:c>
      <x:c r="B269" t="str">
        <x:v>Seventy-seventh Division “The White Monsters”</x:v>
      </x:c>
      <x:c r="C269" t="n">
        <x:v>3</x:v>
      </x:c>
      <x:c r="D269" t="str">
        <x:v>ComStar</x:v>
      </x:c>
      <x:c r="E269" t="str">
        <x:v>’Mech Level II (6 ’Mechs)</x:v>
      </x:c>
      <x:c r="F269" t="n">
        <x:v>1</x:v>
      </x:c>
      <x:c r="G269" t="str">
        <x:v>Iota</x:v>
      </x:c>
      <x:c r="H269" t="str">
        <x:v>Level II</x:v>
      </x:c>
      <x:c r="I269" t="str">
        <x:v>ComStar Formations — designation and Level II guidance</x:v>
      </x:c>
      <x:c r="J269" t="str">
        <x:v>Level II weight → formation type → ComStar ’Mechs RAT</x:v>
      </x:c>
      <x:c r="K269" t="str">
        <x:v>Ready for Level II roll</x:v>
      </x:c>
      <x:c r="L269" t="str">
        <x:v>Iota suggests 19 ’Mechs total; this slot represents 6. Counts are contextual and FP/BV/PV remain the limits.</x:v>
      </x:c>
    </x:row>
    <x:row r="270">
      <x:c r="A270" t="str">
        <x:v>Seventy-seventh Division “The White Monsters”|4</x:v>
      </x:c>
      <x:c r="B270" t="str">
        <x:v>Seventy-seventh Division “The White Monsters”</x:v>
      </x:c>
      <x:c r="C270" t="n">
        <x:v>4</x:v>
      </x:c>
      <x:c r="D270" t="str">
        <x:v>ComStar</x:v>
      </x:c>
      <x:c r="E270" t="str">
        <x:v>Partial ’Mech Level II (1 ’Mechs)</x:v>
      </x:c>
      <x:c r="F270" t="n">
        <x:v>1</x:v>
      </x:c>
      <x:c r="G270" t="str">
        <x:v>Iota</x:v>
      </x:c>
      <x:c r="H270" t="str">
        <x:v>Partial Level II</x:v>
      </x:c>
      <x:c r="I270" t="str">
        <x:v>ComStar Formations — designation and Level II guidance</x:v>
      </x:c>
      <x:c r="J270" t="str">
        <x:v>Level II weight → formation type → ComStar ’Mechs RAT</x:v>
      </x:c>
      <x:c r="K270" t="str">
        <x:v>Ready for Level II roll</x:v>
      </x:c>
      <x:c r="L270" t="str">
        <x:v>Iota suggests 19 ’Mechs total; this slot represents 1. Counts are contextual and FP/BV/PV remain the limits.</x:v>
      </x:c>
    </x:row>
    <x:row r="271">
      <x:c r="A271" t="str">
        <x:v>Seventy-seventh Division “The White Monsters”|5</x:v>
      </x:c>
      <x:c r="B271" t="str">
        <x:v>Seventy-seventh Division “The White Monsters”</x:v>
      </x:c>
      <x:c r="C271" t="n">
        <x:v>5</x:v>
      </x:c>
      <x:c r="D271" t="str">
        <x:v>ComStar</x:v>
      </x:c>
      <x:c r="E271" t="str">
        <x:v>Reserved for Combat Vehicles, Infantry, and Aerospace</x:v>
      </x:c>
      <x:c r="F271"/>
      <x:c r="G271" t="str">
        <x:v>Iota</x:v>
      </x:c>
      <x:c r="H271" t="str">
        <x:v>Support allocation</x:v>
      </x:c>
      <x:c r="I271" t="str">
        <x:v>ComStar designation composition — contextual guidance</x:v>
      </x:c>
      <x:c r="J271" t="str">
        <x:v>Not rolled in the current ’Mech stage</x:v>
      </x:c>
      <x:c r="K271" t="str">
        <x:v>Reserved — not rolled</x:v>
      </x:c>
      <x:c r="L271" t="str">
        <x:v>Iota guidance includes 4 combat vehicles, 7 infantry, and 6 aerospace.</x:v>
      </x:c>
    </x:row>
    <x:row r="272">
      <x:c r="A272" t="str">
        <x:v>Seventy-seventh Division “The White Monsters”|6</x:v>
      </x:c>
      <x:c r="B272" t="str">
        <x:v>Seventy-seventh Division “The White Monsters”</x:v>
      </x:c>
      <x:c r="C272" t="n">
        <x:v>6</x:v>
      </x:c>
      <x:c r="D272" t="str">
        <x:v>ComStar</x:v>
      </x:c>
      <x:c r="E272" t="str">
        <x:v>Reserved for Combat Vehicles, Infantry, and Aerospace</x:v>
      </x:c>
      <x:c r="F272"/>
      <x:c r="G272" t="str">
        <x:v>Iota</x:v>
      </x:c>
      <x:c r="H272" t="str">
        <x:v>Support allocation</x:v>
      </x:c>
      <x:c r="I272" t="str">
        <x:v>ComStar designation composition — contextual guidance</x:v>
      </x:c>
      <x:c r="J272" t="str">
        <x:v>Not rolled in the current ’Mech stage</x:v>
      </x:c>
      <x:c r="K272" t="str">
        <x:v>Reserved — not rolled</x:v>
      </x:c>
      <x:c r="L272" t="str">
        <x:v>Iota guidance includes 4 combat vehicles, 7 infantry, and 6 aerospace.</x:v>
      </x:c>
    </x:row>
    <x:row r="273">
      <x:c r="A273" t="str">
        <x:v>201st Division “Snow on the Mountains”|1</x:v>
      </x:c>
      <x:c r="B273" t="str">
        <x:v>201st Division “Snow on the Mountains”</x:v>
      </x:c>
      <x:c r="C273" t="n">
        <x:v>1</x:v>
      </x:c>
      <x:c r="D273" t="str">
        <x:v>ComStar</x:v>
      </x:c>
      <x:c r="E273" t="str">
        <x:v>’Mech Level II (6 ’Mechs)</x:v>
      </x:c>
      <x:c r="F273" t="n">
        <x:v>1</x:v>
      </x:c>
      <x:c r="G273" t="str">
        <x:v>Kappa</x:v>
      </x:c>
      <x:c r="H273" t="str">
        <x:v>Level II</x:v>
      </x:c>
      <x:c r="I273" t="str">
        <x:v>ComStar Formations — designation and Level II guidance</x:v>
      </x:c>
      <x:c r="J273" t="str">
        <x:v>Level II weight → formation type → ComStar ’Mechs RAT</x:v>
      </x:c>
      <x:c r="K273" t="str">
        <x:v>Ready for Level II roll</x:v>
      </x:c>
      <x:c r="L273" t="str">
        <x:v>Kappa suggests 18 ’Mechs total; this slot represents 6. Counts are contextual and FP/BV/PV remain the limits.</x:v>
      </x:c>
    </x:row>
    <x:row r="274">
      <x:c r="A274" t="str">
        <x:v>201st Division “Snow on the Mountains”|2</x:v>
      </x:c>
      <x:c r="B274" t="str">
        <x:v>201st Division “Snow on the Mountains”</x:v>
      </x:c>
      <x:c r="C274" t="n">
        <x:v>2</x:v>
      </x:c>
      <x:c r="D274" t="str">
        <x:v>ComStar</x:v>
      </x:c>
      <x:c r="E274" t="str">
        <x:v>’Mech Level II (6 ’Mechs)</x:v>
      </x:c>
      <x:c r="F274" t="n">
        <x:v>1</x:v>
      </x:c>
      <x:c r="G274" t="str">
        <x:v>Kappa</x:v>
      </x:c>
      <x:c r="H274" t="str">
        <x:v>Level II</x:v>
      </x:c>
      <x:c r="I274" t="str">
        <x:v>ComStar Formations — designation and Level II guidance</x:v>
      </x:c>
      <x:c r="J274" t="str">
        <x:v>Level II weight → formation type → ComStar ’Mechs RAT</x:v>
      </x:c>
      <x:c r="K274" t="str">
        <x:v>Ready for Level II roll</x:v>
      </x:c>
      <x:c r="L274" t="str">
        <x:v>Kappa suggests 18 ’Mechs total; this slot represents 6. Counts are contextual and FP/BV/PV remain the limits.</x:v>
      </x:c>
    </x:row>
    <x:row r="275">
      <x:c r="A275" t="str">
        <x:v>201st Division “Snow on the Mountains”|3</x:v>
      </x:c>
      <x:c r="B275" t="str">
        <x:v>201st Division “Snow on the Mountains”</x:v>
      </x:c>
      <x:c r="C275" t="n">
        <x:v>3</x:v>
      </x:c>
      <x:c r="D275" t="str">
        <x:v>ComStar</x:v>
      </x:c>
      <x:c r="E275" t="str">
        <x:v>’Mech Level II (6 ’Mechs)</x:v>
      </x:c>
      <x:c r="F275" t="n">
        <x:v>1</x:v>
      </x:c>
      <x:c r="G275" t="str">
        <x:v>Kappa</x:v>
      </x:c>
      <x:c r="H275" t="str">
        <x:v>Level II</x:v>
      </x:c>
      <x:c r="I275" t="str">
        <x:v>ComStar Formations — designation and Level II guidance</x:v>
      </x:c>
      <x:c r="J275" t="str">
        <x:v>Level II weight → formation type → ComStar ’Mechs RAT</x:v>
      </x:c>
      <x:c r="K275" t="str">
        <x:v>Ready for Level II roll</x:v>
      </x:c>
      <x:c r="L275" t="str">
        <x:v>Kappa suggests 18 ’Mechs total; this slot represents 6. Counts are contextual and FP/BV/PV remain the limits.</x:v>
      </x:c>
    </x:row>
    <x:row r="276">
      <x:c r="A276" t="str">
        <x:v>201st Division “Snow on the Mountains”|4</x:v>
      </x:c>
      <x:c r="B276" t="str">
        <x:v>201st Division “Snow on the Mountains”</x:v>
      </x:c>
      <x:c r="C276" t="n">
        <x:v>4</x:v>
      </x:c>
      <x:c r="D276" t="str">
        <x:v>ComStar</x:v>
      </x:c>
      <x:c r="E276" t="str">
        <x:v>Reserved for Combat Vehicles, Infantry, and Aerospace</x:v>
      </x:c>
      <x:c r="F276"/>
      <x:c r="G276" t="str">
        <x:v>Kappa</x:v>
      </x:c>
      <x:c r="H276" t="str">
        <x:v>Support allocation</x:v>
      </x:c>
      <x:c r="I276" t="str">
        <x:v>ComStar designation composition — contextual guidance</x:v>
      </x:c>
      <x:c r="J276" t="str">
        <x:v>Not rolled in the current ’Mech stage</x:v>
      </x:c>
      <x:c r="K276" t="str">
        <x:v>Reserved — not rolled</x:v>
      </x:c>
      <x:c r="L276" t="str">
        <x:v>Kappa guidance includes 4 combat vehicles, 8 infantry, and 6 aerospace.</x:v>
      </x:c>
    </x:row>
    <x:row r="277">
      <x:c r="A277" t="str">
        <x:v>201st Division “Snow on the Mountains”|5</x:v>
      </x:c>
      <x:c r="B277" t="str">
        <x:v>201st Division “Snow on the Mountains”</x:v>
      </x:c>
      <x:c r="C277" t="n">
        <x:v>5</x:v>
      </x:c>
      <x:c r="D277" t="str">
        <x:v>ComStar</x:v>
      </x:c>
      <x:c r="E277" t="str">
        <x:v>Reserved for Combat Vehicles, Infantry, and Aerospace</x:v>
      </x:c>
      <x:c r="F277"/>
      <x:c r="G277" t="str">
        <x:v>Kappa</x:v>
      </x:c>
      <x:c r="H277" t="str">
        <x:v>Support allocation</x:v>
      </x:c>
      <x:c r="I277" t="str">
        <x:v>ComStar designation composition — contextual guidance</x:v>
      </x:c>
      <x:c r="J277" t="str">
        <x:v>Not rolled in the current ’Mech stage</x:v>
      </x:c>
      <x:c r="K277" t="str">
        <x:v>Reserved — not rolled</x:v>
      </x:c>
      <x:c r="L277" t="str">
        <x:v>Kappa guidance includes 4 combat vehicles, 8 infantry, and 6 aerospace.</x:v>
      </x:c>
    </x:row>
    <x:row r="278">
      <x:c r="A278" t="str">
        <x:v>201st Division “Snow on the Mountains”|6</x:v>
      </x:c>
      <x:c r="B278" t="str">
        <x:v>201st Division “Snow on the Mountains”</x:v>
      </x:c>
      <x:c r="C278" t="n">
        <x:v>6</x:v>
      </x:c>
      <x:c r="D278" t="str">
        <x:v>ComStar</x:v>
      </x:c>
      <x:c r="E278" t="str">
        <x:v>Reserved for Combat Vehicles, Infantry, and Aerospace</x:v>
      </x:c>
      <x:c r="F278"/>
      <x:c r="G278" t="str">
        <x:v>Kappa</x:v>
      </x:c>
      <x:c r="H278" t="str">
        <x:v>Support allocation</x:v>
      </x:c>
      <x:c r="I278" t="str">
        <x:v>ComStar designation composition — contextual guidance</x:v>
      </x:c>
      <x:c r="J278" t="str">
        <x:v>Not rolled in the current ’Mech stage</x:v>
      </x:c>
      <x:c r="K278" t="str">
        <x:v>Reserved — not rolled</x:v>
      </x:c>
      <x:c r="L278" t="str">
        <x:v>Kappa guidance includes 4 combat vehicles, 8 infantry, and 6 aerospace.</x:v>
      </x:c>
    </x:row>
    <x:row r="279">
      <x:c r="A279" t="str">
        <x:v>388th Division “The White Banshees”|1</x:v>
      </x:c>
      <x:c r="B279" t="str">
        <x:v>388th Division “The White Banshees”</x:v>
      </x:c>
      <x:c r="C279" t="n">
        <x:v>1</x:v>
      </x:c>
      <x:c r="D279" t="str">
        <x:v>ComStar</x:v>
      </x:c>
      <x:c r="E279" t="str">
        <x:v>’Mech Level II (6 ’Mechs)</x:v>
      </x:c>
      <x:c r="F279" t="n">
        <x:v>1</x:v>
      </x:c>
      <x:c r="G279" t="str">
        <x:v>Delta</x:v>
      </x:c>
      <x:c r="H279" t="str">
        <x:v>Level II</x:v>
      </x:c>
      <x:c r="I279" t="str">
        <x:v>ComStar Formations — designation and Level II guidance</x:v>
      </x:c>
      <x:c r="J279" t="str">
        <x:v>Level II weight → formation type → ComStar ’Mechs RAT</x:v>
      </x:c>
      <x:c r="K279" t="str">
        <x:v>Ready for Level II roll</x:v>
      </x:c>
      <x:c r="L279" t="str">
        <x:v>Delta suggests 25 ’Mechs total; this slot represents 6. Counts are contextual and FP/BV/PV remain the limits.</x:v>
      </x:c>
    </x:row>
    <x:row r="280">
      <x:c r="A280" t="str">
        <x:v>388th Division “The White Banshees”|2</x:v>
      </x:c>
      <x:c r="B280" t="str">
        <x:v>388th Division “The White Banshees”</x:v>
      </x:c>
      <x:c r="C280" t="n">
        <x:v>2</x:v>
      </x:c>
      <x:c r="D280" t="str">
        <x:v>ComStar</x:v>
      </x:c>
      <x:c r="E280" t="str">
        <x:v>’Mech Level II (6 ’Mechs)</x:v>
      </x:c>
      <x:c r="F280" t="n">
        <x:v>1</x:v>
      </x:c>
      <x:c r="G280" t="str">
        <x:v>Delta</x:v>
      </x:c>
      <x:c r="H280" t="str">
        <x:v>Level II</x:v>
      </x:c>
      <x:c r="I280" t="str">
        <x:v>ComStar Formations — designation and Level II guidance</x:v>
      </x:c>
      <x:c r="J280" t="str">
        <x:v>Level II weight → formation type → ComStar ’Mechs RAT</x:v>
      </x:c>
      <x:c r="K280" t="str">
        <x:v>Ready for Level II roll</x:v>
      </x:c>
      <x:c r="L280" t="str">
        <x:v>Delta suggests 25 ’Mechs total; this slot represents 6. Counts are contextual and FP/BV/PV remain the limits.</x:v>
      </x:c>
    </x:row>
    <x:row r="281">
      <x:c r="A281" t="str">
        <x:v>388th Division “The White Banshees”|3</x:v>
      </x:c>
      <x:c r="B281" t="str">
        <x:v>388th Division “The White Banshees”</x:v>
      </x:c>
      <x:c r="C281" t="n">
        <x:v>3</x:v>
      </x:c>
      <x:c r="D281" t="str">
        <x:v>ComStar</x:v>
      </x:c>
      <x:c r="E281" t="str">
        <x:v>’Mech Level II (6 ’Mechs)</x:v>
      </x:c>
      <x:c r="F281" t="n">
        <x:v>1</x:v>
      </x:c>
      <x:c r="G281" t="str">
        <x:v>Delta</x:v>
      </x:c>
      <x:c r="H281" t="str">
        <x:v>Level II</x:v>
      </x:c>
      <x:c r="I281" t="str">
        <x:v>ComStar Formations — designation and Level II guidance</x:v>
      </x:c>
      <x:c r="J281" t="str">
        <x:v>Level II weight → formation type → ComStar ’Mechs RAT</x:v>
      </x:c>
      <x:c r="K281" t="str">
        <x:v>Ready for Level II roll</x:v>
      </x:c>
      <x:c r="L281" t="str">
        <x:v>Delta suggests 25 ’Mechs total; this slot represents 6. Counts are contextual and FP/BV/PV remain the limits.</x:v>
      </x:c>
    </x:row>
    <x:row r="282">
      <x:c r="A282" t="str">
        <x:v>388th Division “The White Banshees”|4</x:v>
      </x:c>
      <x:c r="B282" t="str">
        <x:v>388th Division “The White Banshees”</x:v>
      </x:c>
      <x:c r="C282" t="n">
        <x:v>4</x:v>
      </x:c>
      <x:c r="D282" t="str">
        <x:v>ComStar</x:v>
      </x:c>
      <x:c r="E282" t="str">
        <x:v>’Mech Level II (6 ’Mechs)</x:v>
      </x:c>
      <x:c r="F282" t="n">
        <x:v>1</x:v>
      </x:c>
      <x:c r="G282" t="str">
        <x:v>Delta</x:v>
      </x:c>
      <x:c r="H282" t="str">
        <x:v>Level II</x:v>
      </x:c>
      <x:c r="I282" t="str">
        <x:v>ComStar Formations — designation and Level II guidance</x:v>
      </x:c>
      <x:c r="J282" t="str">
        <x:v>Level II weight → formation type → ComStar ’Mechs RAT</x:v>
      </x:c>
      <x:c r="K282" t="str">
        <x:v>Ready for Level II roll</x:v>
      </x:c>
      <x:c r="L282" t="str">
        <x:v>Delta suggests 25 ’Mechs total; this slot represents 6. Counts are contextual and FP/BV/PV remain the limits.</x:v>
      </x:c>
    </x:row>
    <x:row r="283">
      <x:c r="A283" t="str">
        <x:v>388th Division “The White Banshees”|5</x:v>
      </x:c>
      <x:c r="B283" t="str">
        <x:v>388th Division “The White Banshees”</x:v>
      </x:c>
      <x:c r="C283" t="n">
        <x:v>5</x:v>
      </x:c>
      <x:c r="D283" t="str">
        <x:v>ComStar</x:v>
      </x:c>
      <x:c r="E283" t="str">
        <x:v>Partial ’Mech Level II (1 ’Mechs)</x:v>
      </x:c>
      <x:c r="F283" t="n">
        <x:v>1</x:v>
      </x:c>
      <x:c r="G283" t="str">
        <x:v>Delta</x:v>
      </x:c>
      <x:c r="H283" t="str">
        <x:v>Partial Level II</x:v>
      </x:c>
      <x:c r="I283" t="str">
        <x:v>ComStar Formations — designation and Level II guidance</x:v>
      </x:c>
      <x:c r="J283" t="str">
        <x:v>Level II weight → formation type → ComStar ’Mechs RAT</x:v>
      </x:c>
      <x:c r="K283" t="str">
        <x:v>Ready for Level II roll</x:v>
      </x:c>
      <x:c r="L283" t="str">
        <x:v>Delta suggests 25 ’Mechs total; this slot represents 1. Counts are contextual and FP/BV/PV remain the limits.</x:v>
      </x:c>
    </x:row>
    <x:row r="284">
      <x:c r="A284" t="str">
        <x:v>388th Division “The White Banshees”|6</x:v>
      </x:c>
      <x:c r="B284" t="str">
        <x:v>388th Division “The White Banshees”</x:v>
      </x:c>
      <x:c r="C284" t="n">
        <x:v>6</x:v>
      </x:c>
      <x:c r="D284" t="str">
        <x:v>ComStar</x:v>
      </x:c>
      <x:c r="E284" t="str">
        <x:v>Reserved for Combat Vehicles, Infantry, and Aerospace</x:v>
      </x:c>
      <x:c r="F284"/>
      <x:c r="G284" t="str">
        <x:v>Delta</x:v>
      </x:c>
      <x:c r="H284" t="str">
        <x:v>Support allocation</x:v>
      </x:c>
      <x:c r="I284" t="str">
        <x:v>ComStar designation composition — contextual guidance</x:v>
      </x:c>
      <x:c r="J284" t="str">
        <x:v>Not rolled in the current ’Mech stage</x:v>
      </x:c>
      <x:c r="K284" t="str">
        <x:v>Reserved — not rolled</x:v>
      </x:c>
      <x:c r="L284" t="str">
        <x:v>Delta guidance includes 2 combat vehicles, 3 infantry, and 6 aerospace.</x:v>
      </x:c>
    </x:row>
    <x:row r="285">
      <x:c r="A285" t="str">
        <x:v>394th Division “The White Lions”|1</x:v>
      </x:c>
      <x:c r="B285" t="str">
        <x:v>394th Division “The White Lions”</x:v>
      </x:c>
      <x:c r="C285" t="n">
        <x:v>1</x:v>
      </x:c>
      <x:c r="D285" t="str">
        <x:v>ComStar</x:v>
      </x:c>
      <x:c r="E285" t="str">
        <x:v>’Mech Level II (6 ’Mechs)</x:v>
      </x:c>
      <x:c r="F285" t="n">
        <x:v>1</x:v>
      </x:c>
      <x:c r="G285" t="str">
        <x:v>Lambda</x:v>
      </x:c>
      <x:c r="H285" t="str">
        <x:v>Level II</x:v>
      </x:c>
      <x:c r="I285" t="str">
        <x:v>ComStar Formations — designation and Level II guidance</x:v>
      </x:c>
      <x:c r="J285" t="str">
        <x:v>Level II weight → formation type → ComStar ’Mechs RAT</x:v>
      </x:c>
      <x:c r="K285" t="str">
        <x:v>Ready for Level II roll</x:v>
      </x:c>
      <x:c r="L285" t="str">
        <x:v>Lambda suggests 17 ’Mechs total; this slot represents 6. Counts are contextual and FP/BV/PV remain the limits.</x:v>
      </x:c>
    </x:row>
    <x:row r="286">
      <x:c r="A286" t="str">
        <x:v>394th Division “The White Lions”|2</x:v>
      </x:c>
      <x:c r="B286" t="str">
        <x:v>394th Division “The White Lions”</x:v>
      </x:c>
      <x:c r="C286" t="n">
        <x:v>2</x:v>
      </x:c>
      <x:c r="D286" t="str">
        <x:v>ComStar</x:v>
      </x:c>
      <x:c r="E286" t="str">
        <x:v>’Mech Level II (6 ’Mechs)</x:v>
      </x:c>
      <x:c r="F286" t="n">
        <x:v>1</x:v>
      </x:c>
      <x:c r="G286" t="str">
        <x:v>Lambda</x:v>
      </x:c>
      <x:c r="H286" t="str">
        <x:v>Level II</x:v>
      </x:c>
      <x:c r="I286" t="str">
        <x:v>ComStar Formations — designation and Level II guidance</x:v>
      </x:c>
      <x:c r="J286" t="str">
        <x:v>Level II weight → formation type → ComStar ’Mechs RAT</x:v>
      </x:c>
      <x:c r="K286" t="str">
        <x:v>Ready for Level II roll</x:v>
      </x:c>
      <x:c r="L286" t="str">
        <x:v>Lambda suggests 17 ’Mechs total; this slot represents 6. Counts are contextual and FP/BV/PV remain the limits.</x:v>
      </x:c>
    </x:row>
    <x:row r="287">
      <x:c r="A287" t="str">
        <x:v>394th Division “The White Lions”|3</x:v>
      </x:c>
      <x:c r="B287" t="str">
        <x:v>394th Division “The White Lions”</x:v>
      </x:c>
      <x:c r="C287" t="n">
        <x:v>3</x:v>
      </x:c>
      <x:c r="D287" t="str">
        <x:v>ComStar</x:v>
      </x:c>
      <x:c r="E287" t="str">
        <x:v>Partial ’Mech Level II (5 ’Mechs)</x:v>
      </x:c>
      <x:c r="F287" t="n">
        <x:v>1</x:v>
      </x:c>
      <x:c r="G287" t="str">
        <x:v>Lambda</x:v>
      </x:c>
      <x:c r="H287" t="str">
        <x:v>Partial Level II</x:v>
      </x:c>
      <x:c r="I287" t="str">
        <x:v>ComStar Formations — designation and Level II guidance</x:v>
      </x:c>
      <x:c r="J287" t="str">
        <x:v>Level II weight → formation type → ComStar ’Mechs RAT</x:v>
      </x:c>
      <x:c r="K287" t="str">
        <x:v>Ready for Level II roll</x:v>
      </x:c>
      <x:c r="L287" t="str">
        <x:v>Lambda suggests 17 ’Mechs total; this slot represents 5. Counts are contextual and FP/BV/PV remain the limits.</x:v>
      </x:c>
    </x:row>
    <x:row r="288">
      <x:c r="A288" t="str">
        <x:v>394th Division “The White Lions”|4</x:v>
      </x:c>
      <x:c r="B288" t="str">
        <x:v>394th Division “The White Lions”</x:v>
      </x:c>
      <x:c r="C288" t="n">
        <x:v>4</x:v>
      </x:c>
      <x:c r="D288" t="str">
        <x:v>ComStar</x:v>
      </x:c>
      <x:c r="E288" t="str">
        <x:v>Reserved for Combat Vehicles, Infantry, and Aerospace</x:v>
      </x:c>
      <x:c r="F288"/>
      <x:c r="G288" t="str">
        <x:v>Lambda</x:v>
      </x:c>
      <x:c r="H288" t="str">
        <x:v>Support allocation</x:v>
      </x:c>
      <x:c r="I288" t="str">
        <x:v>ComStar designation composition — contextual guidance</x:v>
      </x:c>
      <x:c r="J288" t="str">
        <x:v>Not rolled in the current ’Mech stage</x:v>
      </x:c>
      <x:c r="K288" t="str">
        <x:v>Reserved — not rolled</x:v>
      </x:c>
      <x:c r="L288" t="str">
        <x:v>Lambda guidance includes 4 combat vehicles, 9 infantry, and 6 aerospace.</x:v>
      </x:c>
    </x:row>
    <x:row r="289">
      <x:c r="A289" t="str">
        <x:v>394th Division “The White Lions”|5</x:v>
      </x:c>
      <x:c r="B289" t="str">
        <x:v>394th Division “The White Lions”</x:v>
      </x:c>
      <x:c r="C289" t="n">
        <x:v>5</x:v>
      </x:c>
      <x:c r="D289" t="str">
        <x:v>ComStar</x:v>
      </x:c>
      <x:c r="E289" t="str">
        <x:v>Reserved for Combat Vehicles, Infantry, and Aerospace</x:v>
      </x:c>
      <x:c r="F289"/>
      <x:c r="G289" t="str">
        <x:v>Lambda</x:v>
      </x:c>
      <x:c r="H289" t="str">
        <x:v>Support allocation</x:v>
      </x:c>
      <x:c r="I289" t="str">
        <x:v>ComStar designation composition — contextual guidance</x:v>
      </x:c>
      <x:c r="J289" t="str">
        <x:v>Not rolled in the current ’Mech stage</x:v>
      </x:c>
      <x:c r="K289" t="str">
        <x:v>Reserved — not rolled</x:v>
      </x:c>
      <x:c r="L289" t="str">
        <x:v>Lambda guidance includes 4 combat vehicles, 9 infantry, and 6 aerospace.</x:v>
      </x:c>
    </x:row>
    <x:row r="290">
      <x:c r="A290" t="str">
        <x:v>394th Division “The White Lions”|6</x:v>
      </x:c>
      <x:c r="B290" t="str">
        <x:v>394th Division “The White Lions”</x:v>
      </x:c>
      <x:c r="C290" t="n">
        <x:v>6</x:v>
      </x:c>
      <x:c r="D290" t="str">
        <x:v>ComStar</x:v>
      </x:c>
      <x:c r="E290" t="str">
        <x:v>Reserved for Combat Vehicles, Infantry, and Aerospace</x:v>
      </x:c>
      <x:c r="F290"/>
      <x:c r="G290" t="str">
        <x:v>Lambda</x:v>
      </x:c>
      <x:c r="H290" t="str">
        <x:v>Support allocation</x:v>
      </x:c>
      <x:c r="I290" t="str">
        <x:v>ComStar designation composition — contextual guidance</x:v>
      </x:c>
      <x:c r="J290" t="str">
        <x:v>Not rolled in the current ’Mech stage</x:v>
      </x:c>
      <x:c r="K290" t="str">
        <x:v>Reserved — not rolled</x:v>
      </x:c>
      <x:c r="L290" t="str">
        <x:v>Lambda guidance includes 4 combat vehicles, 9 infantry, and 6 aerospace.</x:v>
      </x:c>
    </x:row>
    <x:row r="291">
      <x:c r="A291" t="str">
        <x:v>198th Division “Outer Limits Warriors”|1</x:v>
      </x:c>
      <x:c r="B291" t="str">
        <x:v>198th Division “Outer Limits Warriors”</x:v>
      </x:c>
      <x:c r="C291" t="n">
        <x:v>1</x:v>
      </x:c>
      <x:c r="D291" t="str">
        <x:v>ComStar</x:v>
      </x:c>
      <x:c r="E291" t="str">
        <x:v>’Mech Level II (6 ’Mechs)</x:v>
      </x:c>
      <x:c r="F291" t="n">
        <x:v>1</x:v>
      </x:c>
      <x:c r="G291" t="str">
        <x:v>Nu</x:v>
      </x:c>
      <x:c r="H291" t="str">
        <x:v>Level II</x:v>
      </x:c>
      <x:c r="I291" t="str">
        <x:v>ComStar Formations — designation and Level II guidance</x:v>
      </x:c>
      <x:c r="J291" t="str">
        <x:v>Level II weight → formation type → ComStar ’Mechs RAT</x:v>
      </x:c>
      <x:c r="K291" t="str">
        <x:v>Ready for Level II roll</x:v>
      </x:c>
      <x:c r="L291" t="str">
        <x:v>Nu suggests 15 ’Mechs total; this slot represents 6. Counts are contextual and FP/BV/PV remain the limits.</x:v>
      </x:c>
    </x:row>
    <x:row r="292">
      <x:c r="A292" t="str">
        <x:v>198th Division “Outer Limits Warriors”|2</x:v>
      </x:c>
      <x:c r="B292" t="str">
        <x:v>198th Division “Outer Limits Warriors”</x:v>
      </x:c>
      <x:c r="C292" t="n">
        <x:v>2</x:v>
      </x:c>
      <x:c r="D292" t="str">
        <x:v>ComStar</x:v>
      </x:c>
      <x:c r="E292" t="str">
        <x:v>’Mech Level II (6 ’Mechs)</x:v>
      </x:c>
      <x:c r="F292" t="n">
        <x:v>1</x:v>
      </x:c>
      <x:c r="G292" t="str">
        <x:v>Nu</x:v>
      </x:c>
      <x:c r="H292" t="str">
        <x:v>Level II</x:v>
      </x:c>
      <x:c r="I292" t="str">
        <x:v>ComStar Formations — designation and Level II guidance</x:v>
      </x:c>
      <x:c r="J292" t="str">
        <x:v>Level II weight → formation type → ComStar ’Mechs RAT</x:v>
      </x:c>
      <x:c r="K292" t="str">
        <x:v>Ready for Level II roll</x:v>
      </x:c>
      <x:c r="L292" t="str">
        <x:v>Nu suggests 15 ’Mechs total; this slot represents 6. Counts are contextual and FP/BV/PV remain the limits.</x:v>
      </x:c>
    </x:row>
    <x:row r="293">
      <x:c r="A293" t="str">
        <x:v>198th Division “Outer Limits Warriors”|3</x:v>
      </x:c>
      <x:c r="B293" t="str">
        <x:v>198th Division “Outer Limits Warriors”</x:v>
      </x:c>
      <x:c r="C293" t="n">
        <x:v>3</x:v>
      </x:c>
      <x:c r="D293" t="str">
        <x:v>ComStar</x:v>
      </x:c>
      <x:c r="E293" t="str">
        <x:v>Partial ’Mech Level II (3 ’Mechs)</x:v>
      </x:c>
      <x:c r="F293" t="n">
        <x:v>1</x:v>
      </x:c>
      <x:c r="G293" t="str">
        <x:v>Nu</x:v>
      </x:c>
      <x:c r="H293" t="str">
        <x:v>Partial Level II</x:v>
      </x:c>
      <x:c r="I293" t="str">
        <x:v>ComStar Formations — designation and Level II guidance</x:v>
      </x:c>
      <x:c r="J293" t="str">
        <x:v>Level II weight → formation type → ComStar ’Mechs RAT</x:v>
      </x:c>
      <x:c r="K293" t="str">
        <x:v>Ready for Level II roll</x:v>
      </x:c>
      <x:c r="L293" t="str">
        <x:v>Nu suggests 15 ’Mechs total; this slot represents 3. Counts are contextual and FP/BV/PV remain the limits.</x:v>
      </x:c>
    </x:row>
    <x:row r="294">
      <x:c r="A294" t="str">
        <x:v>198th Division “Outer Limits Warriors”|4</x:v>
      </x:c>
      <x:c r="B294" t="str">
        <x:v>198th Division “Outer Limits Warriors”</x:v>
      </x:c>
      <x:c r="C294" t="n">
        <x:v>4</x:v>
      </x:c>
      <x:c r="D294" t="str">
        <x:v>ComStar</x:v>
      </x:c>
      <x:c r="E294" t="str">
        <x:v>Reserved for Combat Vehicles, Infantry, and Aerospace</x:v>
      </x:c>
      <x:c r="F294"/>
      <x:c r="G294" t="str">
        <x:v>Nu</x:v>
      </x:c>
      <x:c r="H294" t="str">
        <x:v>Support allocation</x:v>
      </x:c>
      <x:c r="I294" t="str">
        <x:v>ComStar designation composition — contextual guidance</x:v>
      </x:c>
      <x:c r="J294" t="str">
        <x:v>Not rolled in the current ’Mech stage</x:v>
      </x:c>
      <x:c r="K294" t="str">
        <x:v>Reserved — not rolled</x:v>
      </x:c>
      <x:c r="L294" t="str">
        <x:v>Nu guidance includes 5 combat vehicles, 10 infantry, and 6 aerospace.</x:v>
      </x:c>
    </x:row>
    <x:row r="295">
      <x:c r="A295" t="str">
        <x:v>198th Division “Outer Limits Warriors”|5</x:v>
      </x:c>
      <x:c r="B295" t="str">
        <x:v>198th Division “Outer Limits Warriors”</x:v>
      </x:c>
      <x:c r="C295" t="n">
        <x:v>5</x:v>
      </x:c>
      <x:c r="D295" t="str">
        <x:v>ComStar</x:v>
      </x:c>
      <x:c r="E295" t="str">
        <x:v>Reserved for Combat Vehicles, Infantry, and Aerospace</x:v>
      </x:c>
      <x:c r="F295"/>
      <x:c r="G295" t="str">
        <x:v>Nu</x:v>
      </x:c>
      <x:c r="H295" t="str">
        <x:v>Support allocation</x:v>
      </x:c>
      <x:c r="I295" t="str">
        <x:v>ComStar designation composition — contextual guidance</x:v>
      </x:c>
      <x:c r="J295" t="str">
        <x:v>Not rolled in the current ’Mech stage</x:v>
      </x:c>
      <x:c r="K295" t="str">
        <x:v>Reserved — not rolled</x:v>
      </x:c>
      <x:c r="L295" t="str">
        <x:v>Nu guidance includes 5 combat vehicles, 10 infantry, and 6 aerospace.</x:v>
      </x:c>
    </x:row>
    <x:row r="296">
      <x:c r="A296" t="str">
        <x:v>198th Division “Outer Limits Warriors”|6</x:v>
      </x:c>
      <x:c r="B296" t="str">
        <x:v>198th Division “Outer Limits Warriors”</x:v>
      </x:c>
      <x:c r="C296" t="n">
        <x:v>6</x:v>
      </x:c>
      <x:c r="D296" t="str">
        <x:v>ComStar</x:v>
      </x:c>
      <x:c r="E296" t="str">
        <x:v>Reserved for Combat Vehicles, Infantry, and Aerospace</x:v>
      </x:c>
      <x:c r="F296"/>
      <x:c r="G296" t="str">
        <x:v>Nu</x:v>
      </x:c>
      <x:c r="H296" t="str">
        <x:v>Support allocation</x:v>
      </x:c>
      <x:c r="I296" t="str">
        <x:v>ComStar designation composition — contextual guidance</x:v>
      </x:c>
      <x:c r="J296" t="str">
        <x:v>Not rolled in the current ’Mech stage</x:v>
      </x:c>
      <x:c r="K296" t="str">
        <x:v>Reserved — not rolled</x:v>
      </x:c>
      <x:c r="L296" t="str">
        <x:v>Nu guidance includes 5 combat vehicles, 10 infantry, and 6 aerospace.</x:v>
      </x:c>
    </x:row>
    <x:row r="297">
      <x:c r="A297" t="str">
        <x:v>366th Division “ComStar Lancers”|1</x:v>
      </x:c>
      <x:c r="B297" t="str">
        <x:v>366th Division “ComStar Lancers”</x:v>
      </x:c>
      <x:c r="C297" t="n">
        <x:v>1</x:v>
      </x:c>
      <x:c r="D297" t="str">
        <x:v>ComStar</x:v>
      </x:c>
      <x:c r="E297" t="str">
        <x:v>’Mech Level II (6 ’Mechs)</x:v>
      </x:c>
      <x:c r="F297" t="n">
        <x:v>1</x:v>
      </x:c>
      <x:c r="G297" t="str">
        <x:v>Tau</x:v>
      </x:c>
      <x:c r="H297" t="str">
        <x:v>Level II</x:v>
      </x:c>
      <x:c r="I297" t="str">
        <x:v>ComStar Formations — designation and Level II guidance</x:v>
      </x:c>
      <x:c r="J297" t="str">
        <x:v>Level II weight → formation type → ComStar ’Mechs RAT</x:v>
      </x:c>
      <x:c r="K297" t="str">
        <x:v>Ready for Level II roll</x:v>
      </x:c>
      <x:c r="L297" t="str">
        <x:v>Tau suggests 8 ’Mechs total; this slot represents 6. Counts are contextual and FP/BV/PV remain the limits.</x:v>
      </x:c>
    </x:row>
    <x:row r="298">
      <x:c r="A298" t="str">
        <x:v>366th Division “ComStar Lancers”|2</x:v>
      </x:c>
      <x:c r="B298" t="str">
        <x:v>366th Division “ComStar Lancers”</x:v>
      </x:c>
      <x:c r="C298" t="n">
        <x:v>2</x:v>
      </x:c>
      <x:c r="D298" t="str">
        <x:v>ComStar</x:v>
      </x:c>
      <x:c r="E298" t="str">
        <x:v>Partial ’Mech Level II (2 ’Mechs)</x:v>
      </x:c>
      <x:c r="F298" t="n">
        <x:v>1</x:v>
      </x:c>
      <x:c r="G298" t="str">
        <x:v>Tau</x:v>
      </x:c>
      <x:c r="H298" t="str">
        <x:v>Partial Level II</x:v>
      </x:c>
      <x:c r="I298" t="str">
        <x:v>ComStar Formations — designation and Level II guidance</x:v>
      </x:c>
      <x:c r="J298" t="str">
        <x:v>Level II weight → formation type → ComStar ’Mechs RAT</x:v>
      </x:c>
      <x:c r="K298" t="str">
        <x:v>Ready for Level II roll</x:v>
      </x:c>
      <x:c r="L298" t="str">
        <x:v>Tau suggests 8 ’Mechs total; this slot represents 2. Counts are contextual and FP/BV/PV remain the limits.</x:v>
      </x:c>
    </x:row>
    <x:row r="299">
      <x:c r="A299" t="str">
        <x:v>366th Division “ComStar Lancers”|3</x:v>
      </x:c>
      <x:c r="B299" t="str">
        <x:v>366th Division “ComStar Lancers”</x:v>
      </x:c>
      <x:c r="C299" t="n">
        <x:v>3</x:v>
      </x:c>
      <x:c r="D299" t="str">
        <x:v>ComStar</x:v>
      </x:c>
      <x:c r="E299" t="str">
        <x:v>Reserved for Combat Vehicles, Infantry, and Aerospace</x:v>
      </x:c>
      <x:c r="F299"/>
      <x:c r="G299" t="str">
        <x:v>Tau</x:v>
      </x:c>
      <x:c r="H299" t="str">
        <x:v>Support allocation</x:v>
      </x:c>
      <x:c r="I299" t="str">
        <x:v>ComStar designation composition — contextual guidance</x:v>
      </x:c>
      <x:c r="J299" t="str">
        <x:v>Not rolled in the current ’Mech stage</x:v>
      </x:c>
      <x:c r="K299" t="str">
        <x:v>Reserved — not rolled</x:v>
      </x:c>
      <x:c r="L299" t="str">
        <x:v>Tau guidance includes 7 combat vehicles, 15 infantry, and 6 aerospace.</x:v>
      </x:c>
    </x:row>
    <x:row r="300">
      <x:c r="A300" t="str">
        <x:v>366th Division “ComStar Lancers”|4</x:v>
      </x:c>
      <x:c r="B300" t="str">
        <x:v>366th Division “ComStar Lancers”</x:v>
      </x:c>
      <x:c r="C300" t="n">
        <x:v>4</x:v>
      </x:c>
      <x:c r="D300" t="str">
        <x:v>ComStar</x:v>
      </x:c>
      <x:c r="E300" t="str">
        <x:v>Reserved for Combat Vehicles, Infantry, and Aerospace</x:v>
      </x:c>
      <x:c r="F300"/>
      <x:c r="G300" t="str">
        <x:v>Tau</x:v>
      </x:c>
      <x:c r="H300" t="str">
        <x:v>Support allocation</x:v>
      </x:c>
      <x:c r="I300" t="str">
        <x:v>ComStar designation composition — contextual guidance</x:v>
      </x:c>
      <x:c r="J300" t="str">
        <x:v>Not rolled in the current ’Mech stage</x:v>
      </x:c>
      <x:c r="K300" t="str">
        <x:v>Reserved — not rolled</x:v>
      </x:c>
      <x:c r="L300" t="str">
        <x:v>Tau guidance includes 7 combat vehicles, 15 infantry, and 6 aerospace.</x:v>
      </x:c>
    </x:row>
    <x:row r="301">
      <x:c r="A301" t="str">
        <x:v>366th Division “ComStar Lancers”|5</x:v>
      </x:c>
      <x:c r="B301" t="str">
        <x:v>366th Division “ComStar Lancers”</x:v>
      </x:c>
      <x:c r="C301" t="n">
        <x:v>5</x:v>
      </x:c>
      <x:c r="D301" t="str">
        <x:v>ComStar</x:v>
      </x:c>
      <x:c r="E301" t="str">
        <x:v>Reserved for Combat Vehicles, Infantry, and Aerospace</x:v>
      </x:c>
      <x:c r="F301"/>
      <x:c r="G301" t="str">
        <x:v>Tau</x:v>
      </x:c>
      <x:c r="H301" t="str">
        <x:v>Support allocation</x:v>
      </x:c>
      <x:c r="I301" t="str">
        <x:v>ComStar designation composition — contextual guidance</x:v>
      </x:c>
      <x:c r="J301" t="str">
        <x:v>Not rolled in the current ’Mech stage</x:v>
      </x:c>
      <x:c r="K301" t="str">
        <x:v>Reserved — not rolled</x:v>
      </x:c>
      <x:c r="L301" t="str">
        <x:v>Tau guidance includes 7 combat vehicles, 15 infantry, and 6 aerospace.</x:v>
      </x:c>
    </x:row>
    <x:row r="302">
      <x:c r="A302" t="str">
        <x:v>366th Division “ComStar Lancers”|6</x:v>
      </x:c>
      <x:c r="B302" t="str">
        <x:v>366th Division “ComStar Lancers”</x:v>
      </x:c>
      <x:c r="C302" t="n">
        <x:v>6</x:v>
      </x:c>
      <x:c r="D302" t="str">
        <x:v>ComStar</x:v>
      </x:c>
      <x:c r="E302" t="str">
        <x:v>Reserved for Combat Vehicles, Infantry, and Aerospace</x:v>
      </x:c>
      <x:c r="F302"/>
      <x:c r="G302" t="str">
        <x:v>Tau</x:v>
      </x:c>
      <x:c r="H302" t="str">
        <x:v>Support allocation</x:v>
      </x:c>
      <x:c r="I302" t="str">
        <x:v>ComStar designation composition — contextual guidance</x:v>
      </x:c>
      <x:c r="J302" t="str">
        <x:v>Not rolled in the current ’Mech stage</x:v>
      </x:c>
      <x:c r="K302" t="str">
        <x:v>Reserved — not rolled</x:v>
      </x:c>
      <x:c r="L302" t="str">
        <x:v>Tau guidance includes 7 combat vehicles, 15 infantry, and 6 aerospace.</x:v>
      </x:c>
    </x:row>
    <x:row r="303">
      <x:c r="A303" t="str">
        <x:v>Sixty-sixth Division “Obedience Above All”|1</x:v>
      </x:c>
      <x:c r="B303" t="str">
        <x:v>Sixty-sixth Division “Obedience Above All”</x:v>
      </x:c>
      <x:c r="C303" t="n">
        <x:v>1</x:v>
      </x:c>
      <x:c r="D303" t="str">
        <x:v>ComStar</x:v>
      </x:c>
      <x:c r="E303" t="str">
        <x:v>’Mech Level II (6 ’Mechs)</x:v>
      </x:c>
      <x:c r="F303" t="n">
        <x:v>1</x:v>
      </x:c>
      <x:c r="G303" t="str">
        <x:v>Theta</x:v>
      </x:c>
      <x:c r="H303" t="str">
        <x:v>Level II</x:v>
      </x:c>
      <x:c r="I303" t="str">
        <x:v>ComStar Formations — designation and Level II guidance</x:v>
      </x:c>
      <x:c r="J303" t="str">
        <x:v>Level II weight → formation type → ComStar ’Mechs RAT</x:v>
      </x:c>
      <x:c r="K303" t="str">
        <x:v>Ready for Level II roll</x:v>
      </x:c>
      <x:c r="L303" t="str">
        <x:v>Theta suggests 20 ’Mechs total; this slot represents 6. Counts are contextual and FP/BV/PV remain the limits.</x:v>
      </x:c>
    </x:row>
    <x:row r="304">
      <x:c r="A304" t="str">
        <x:v>Sixty-sixth Division “Obedience Above All”|2</x:v>
      </x:c>
      <x:c r="B304" t="str">
        <x:v>Sixty-sixth Division “Obedience Above All”</x:v>
      </x:c>
      <x:c r="C304" t="n">
        <x:v>2</x:v>
      </x:c>
      <x:c r="D304" t="str">
        <x:v>ComStar</x:v>
      </x:c>
      <x:c r="E304" t="str">
        <x:v>’Mech Level II (6 ’Mechs)</x:v>
      </x:c>
      <x:c r="F304" t="n">
        <x:v>1</x:v>
      </x:c>
      <x:c r="G304" t="str">
        <x:v>Theta</x:v>
      </x:c>
      <x:c r="H304" t="str">
        <x:v>Level II</x:v>
      </x:c>
      <x:c r="I304" t="str">
        <x:v>ComStar Formations — designation and Level II guidance</x:v>
      </x:c>
      <x:c r="J304" t="str">
        <x:v>Level II weight → formation type → ComStar ’Mechs RAT</x:v>
      </x:c>
      <x:c r="K304" t="str">
        <x:v>Ready for Level II roll</x:v>
      </x:c>
      <x:c r="L304" t="str">
        <x:v>Theta suggests 20 ’Mechs total; this slot represents 6. Counts are contextual and FP/BV/PV remain the limits.</x:v>
      </x:c>
    </x:row>
    <x:row r="305">
      <x:c r="A305" t="str">
        <x:v>Sixty-sixth Division “Obedience Above All”|3</x:v>
      </x:c>
      <x:c r="B305" t="str">
        <x:v>Sixty-sixth Division “Obedience Above All”</x:v>
      </x:c>
      <x:c r="C305" t="n">
        <x:v>3</x:v>
      </x:c>
      <x:c r="D305" t="str">
        <x:v>ComStar</x:v>
      </x:c>
      <x:c r="E305" t="str">
        <x:v>’Mech Level II (6 ’Mechs)</x:v>
      </x:c>
      <x:c r="F305" t="n">
        <x:v>1</x:v>
      </x:c>
      <x:c r="G305" t="str">
        <x:v>Theta</x:v>
      </x:c>
      <x:c r="H305" t="str">
        <x:v>Level II</x:v>
      </x:c>
      <x:c r="I305" t="str">
        <x:v>ComStar Formations — designation and Level II guidance</x:v>
      </x:c>
      <x:c r="J305" t="str">
        <x:v>Level II weight → formation type → ComStar ’Mechs RAT</x:v>
      </x:c>
      <x:c r="K305" t="str">
        <x:v>Ready for Level II roll</x:v>
      </x:c>
      <x:c r="L305" t="str">
        <x:v>Theta suggests 20 ’Mechs total; this slot represents 6. Counts are contextual and FP/BV/PV remain the limits.</x:v>
      </x:c>
    </x:row>
    <x:row r="306">
      <x:c r="A306" t="str">
        <x:v>Sixty-sixth Division “Obedience Above All”|4</x:v>
      </x:c>
      <x:c r="B306" t="str">
        <x:v>Sixty-sixth Division “Obedience Above All”</x:v>
      </x:c>
      <x:c r="C306" t="n">
        <x:v>4</x:v>
      </x:c>
      <x:c r="D306" t="str">
        <x:v>ComStar</x:v>
      </x:c>
      <x:c r="E306" t="str">
        <x:v>Partial ’Mech Level II (2 ’Mechs)</x:v>
      </x:c>
      <x:c r="F306" t="n">
        <x:v>1</x:v>
      </x:c>
      <x:c r="G306" t="str">
        <x:v>Theta</x:v>
      </x:c>
      <x:c r="H306" t="str">
        <x:v>Partial Level II</x:v>
      </x:c>
      <x:c r="I306" t="str">
        <x:v>ComStar Formations — designation and Level II guidance</x:v>
      </x:c>
      <x:c r="J306" t="str">
        <x:v>Level II weight → formation type → ComStar ’Mechs RAT</x:v>
      </x:c>
      <x:c r="K306" t="str">
        <x:v>Ready for Level II roll</x:v>
      </x:c>
      <x:c r="L306" t="str">
        <x:v>Theta suggests 20 ’Mechs total; this slot represents 2. Counts are contextual and FP/BV/PV remain the limits.</x:v>
      </x:c>
    </x:row>
    <x:row r="307">
      <x:c r="A307" t="str">
        <x:v>Sixty-sixth Division “Obedience Above All”|5</x:v>
      </x:c>
      <x:c r="B307" t="str">
        <x:v>Sixty-sixth Division “Obedience Above All”</x:v>
      </x:c>
      <x:c r="C307" t="n">
        <x:v>5</x:v>
      </x:c>
      <x:c r="D307" t="str">
        <x:v>ComStar</x:v>
      </x:c>
      <x:c r="E307" t="str">
        <x:v>Reserved for Combat Vehicles, Infantry, and Aerospace</x:v>
      </x:c>
      <x:c r="F307"/>
      <x:c r="G307" t="str">
        <x:v>Theta</x:v>
      </x:c>
      <x:c r="H307" t="str">
        <x:v>Support allocation</x:v>
      </x:c>
      <x:c r="I307" t="str">
        <x:v>ComStar designation composition — contextual guidance</x:v>
      </x:c>
      <x:c r="J307" t="str">
        <x:v>Not rolled in the current ’Mech stage</x:v>
      </x:c>
      <x:c r="K307" t="str">
        <x:v>Reserved — not rolled</x:v>
      </x:c>
      <x:c r="L307" t="str">
        <x:v>Theta guidance includes 3 combat vehicles, 7 infantry, and 6 aerospace.</x:v>
      </x:c>
    </x:row>
    <x:row r="308">
      <x:c r="A308" t="str">
        <x:v>Sixty-sixth Division “Obedience Above All”|6</x:v>
      </x:c>
      <x:c r="B308" t="str">
        <x:v>Sixty-sixth Division “Obedience Above All”</x:v>
      </x:c>
      <x:c r="C308" t="n">
        <x:v>6</x:v>
      </x:c>
      <x:c r="D308" t="str">
        <x:v>ComStar</x:v>
      </x:c>
      <x:c r="E308" t="str">
        <x:v>Reserved for Combat Vehicles, Infantry, and Aerospace</x:v>
      </x:c>
      <x:c r="F308"/>
      <x:c r="G308" t="str">
        <x:v>Theta</x:v>
      </x:c>
      <x:c r="H308" t="str">
        <x:v>Support allocation</x:v>
      </x:c>
      <x:c r="I308" t="str">
        <x:v>ComStar designation composition — contextual guidance</x:v>
      </x:c>
      <x:c r="J308" t="str">
        <x:v>Not rolled in the current ’Mech stage</x:v>
      </x:c>
      <x:c r="K308" t="str">
        <x:v>Reserved — not rolled</x:v>
      </x:c>
      <x:c r="L308" t="str">
        <x:v>Theta guidance includes 3 combat vehicles, 7 infantry, and 6 aerospace.</x:v>
      </x:c>
    </x:row>
    <x:row r="309">
      <x:c r="A309" t="str">
        <x:v>82nd Division “Clear Thoughts”|1</x:v>
      </x:c>
      <x:c r="B309" t="str">
        <x:v>82nd Division “Clear Thoughts”</x:v>
      </x:c>
      <x:c r="C309" t="n">
        <x:v>1</x:v>
      </x:c>
      <x:c r="D309" t="str">
        <x:v>ComStar</x:v>
      </x:c>
      <x:c r="E309" t="str">
        <x:v>’Mech Level II (6 ’Mechs)</x:v>
      </x:c>
      <x:c r="F309" t="n">
        <x:v>1</x:v>
      </x:c>
      <x:c r="G309" t="str">
        <x:v>Rho</x:v>
      </x:c>
      <x:c r="H309" t="str">
        <x:v>Level II</x:v>
      </x:c>
      <x:c r="I309" t="str">
        <x:v>ComStar Formations — designation and Level II guidance</x:v>
      </x:c>
      <x:c r="J309" t="str">
        <x:v>Level II weight → formation type → ComStar ’Mechs RAT</x:v>
      </x:c>
      <x:c r="K309" t="str">
        <x:v>Ready for Level II roll</x:v>
      </x:c>
      <x:c r="L309" t="str">
        <x:v>Rho suggests 10 ’Mechs total; this slot represents 6. Counts are contextual and FP/BV/PV remain the limits.</x:v>
      </x:c>
    </x:row>
    <x:row r="310">
      <x:c r="A310" t="str">
        <x:v>82nd Division “Clear Thoughts”|2</x:v>
      </x:c>
      <x:c r="B310" t="str">
        <x:v>82nd Division “Clear Thoughts”</x:v>
      </x:c>
      <x:c r="C310" t="n">
        <x:v>2</x:v>
      </x:c>
      <x:c r="D310" t="str">
        <x:v>ComStar</x:v>
      </x:c>
      <x:c r="E310" t="str">
        <x:v>Partial ’Mech Level II (4 ’Mechs)</x:v>
      </x:c>
      <x:c r="F310" t="n">
        <x:v>1</x:v>
      </x:c>
      <x:c r="G310" t="str">
        <x:v>Rho</x:v>
      </x:c>
      <x:c r="H310" t="str">
        <x:v>Partial Level II</x:v>
      </x:c>
      <x:c r="I310" t="str">
        <x:v>ComStar Formations — designation and Level II guidance</x:v>
      </x:c>
      <x:c r="J310" t="str">
        <x:v>Level II weight → formation type → ComStar ’Mechs RAT</x:v>
      </x:c>
      <x:c r="K310" t="str">
        <x:v>Ready for Level II roll</x:v>
      </x:c>
      <x:c r="L310" t="str">
        <x:v>Rho suggests 10 ’Mechs total; this slot represents 4. Counts are contextual and FP/BV/PV remain the limits.</x:v>
      </x:c>
    </x:row>
    <x:row r="311">
      <x:c r="A311" t="str">
        <x:v>82nd Division “Clear Thoughts”|3</x:v>
      </x:c>
      <x:c r="B311" t="str">
        <x:v>82nd Division “Clear Thoughts”</x:v>
      </x:c>
      <x:c r="C311" t="n">
        <x:v>3</x:v>
      </x:c>
      <x:c r="D311" t="str">
        <x:v>ComStar</x:v>
      </x:c>
      <x:c r="E311" t="str">
        <x:v>Reserved for Combat Vehicles, Infantry, and Aerospace</x:v>
      </x:c>
      <x:c r="F311"/>
      <x:c r="G311" t="str">
        <x:v>Rho</x:v>
      </x:c>
      <x:c r="H311" t="str">
        <x:v>Support allocation</x:v>
      </x:c>
      <x:c r="I311" t="str">
        <x:v>ComStar designation composition — contextual guidance</x:v>
      </x:c>
      <x:c r="J311" t="str">
        <x:v>Not rolled in the current ’Mech stage</x:v>
      </x:c>
      <x:c r="K311" t="str">
        <x:v>Reserved — not rolled</x:v>
      </x:c>
      <x:c r="L311" t="str">
        <x:v>Rho guidance includes 7 combat vehicles, 13 infantry, and 6 aerospace.</x:v>
      </x:c>
    </x:row>
    <x:row r="312">
      <x:c r="A312" t="str">
        <x:v>82nd Division “Clear Thoughts”|4</x:v>
      </x:c>
      <x:c r="B312" t="str">
        <x:v>82nd Division “Clear Thoughts”</x:v>
      </x:c>
      <x:c r="C312" t="n">
        <x:v>4</x:v>
      </x:c>
      <x:c r="D312" t="str">
        <x:v>ComStar</x:v>
      </x:c>
      <x:c r="E312" t="str">
        <x:v>Reserved for Combat Vehicles, Infantry, and Aerospace</x:v>
      </x:c>
      <x:c r="F312"/>
      <x:c r="G312" t="str">
        <x:v>Rho</x:v>
      </x:c>
      <x:c r="H312" t="str">
        <x:v>Support allocation</x:v>
      </x:c>
      <x:c r="I312" t="str">
        <x:v>ComStar designation composition — contextual guidance</x:v>
      </x:c>
      <x:c r="J312" t="str">
        <x:v>Not rolled in the current ’Mech stage</x:v>
      </x:c>
      <x:c r="K312" t="str">
        <x:v>Reserved — not rolled</x:v>
      </x:c>
      <x:c r="L312" t="str">
        <x:v>Rho guidance includes 7 combat vehicles, 13 infantry, and 6 aerospace.</x:v>
      </x:c>
    </x:row>
    <x:row r="313">
      <x:c r="A313" t="str">
        <x:v>82nd Division “Clear Thoughts”|5</x:v>
      </x:c>
      <x:c r="B313" t="str">
        <x:v>82nd Division “Clear Thoughts”</x:v>
      </x:c>
      <x:c r="C313" t="n">
        <x:v>5</x:v>
      </x:c>
      <x:c r="D313" t="str">
        <x:v>ComStar</x:v>
      </x:c>
      <x:c r="E313" t="str">
        <x:v>Reserved for Combat Vehicles, Infantry, and Aerospace</x:v>
      </x:c>
      <x:c r="F313"/>
      <x:c r="G313" t="str">
        <x:v>Rho</x:v>
      </x:c>
      <x:c r="H313" t="str">
        <x:v>Support allocation</x:v>
      </x:c>
      <x:c r="I313" t="str">
        <x:v>ComStar designation composition — contextual guidance</x:v>
      </x:c>
      <x:c r="J313" t="str">
        <x:v>Not rolled in the current ’Mech stage</x:v>
      </x:c>
      <x:c r="K313" t="str">
        <x:v>Reserved — not rolled</x:v>
      </x:c>
      <x:c r="L313" t="str">
        <x:v>Rho guidance includes 7 combat vehicles, 13 infantry, and 6 aerospace.</x:v>
      </x:c>
    </x:row>
    <x:row r="314">
      <x:c r="A314" t="str">
        <x:v>82nd Division “Clear Thoughts”|6</x:v>
      </x:c>
      <x:c r="B314" t="str">
        <x:v>82nd Division “Clear Thoughts”</x:v>
      </x:c>
      <x:c r="C314" t="n">
        <x:v>6</x:v>
      </x:c>
      <x:c r="D314" t="str">
        <x:v>ComStar</x:v>
      </x:c>
      <x:c r="E314" t="str">
        <x:v>Reserved for Combat Vehicles, Infantry, and Aerospace</x:v>
      </x:c>
      <x:c r="F314"/>
      <x:c r="G314" t="str">
        <x:v>Rho</x:v>
      </x:c>
      <x:c r="H314" t="str">
        <x:v>Support allocation</x:v>
      </x:c>
      <x:c r="I314" t="str">
        <x:v>ComStar designation composition — contextual guidance</x:v>
      </x:c>
      <x:c r="J314" t="str">
        <x:v>Not rolled in the current ’Mech stage</x:v>
      </x:c>
      <x:c r="K314" t="str">
        <x:v>Reserved — not rolled</x:v>
      </x:c>
      <x:c r="L314" t="str">
        <x:v>Rho guidance includes 7 combat vehicles, 13 infantry, and 6 aerospace.</x:v>
      </x:c>
    </x:row>
  </x:sheetData>
  <x:pageMargins left="0.7" right="0.7" top="0.75" bottom="0.75" header="0.3" footer="0.3"/>
  <x:tableParts count="1">
    <x:tablePart xmlns:r="http://schemas.openxmlformats.org/officeDocument/2006/relationships" r:id="R3d59128e8a8d4f20"/>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7" max="7" width="24" hidden="0" customWidth="1"/>
    <x:col min="9" max="9" width="24" hidden="0" customWidth="1"/>
    <x:col min="12" max="12" width="24" hidden="0" customWidth="1"/>
    <x:col min="14" max="14" width="24" hidden="0" customWidth="1"/>
    <x:col min="16" max="16" width="24" hidden="0" customWidth="1"/>
    <x:col min="18" max="18" width="24" hidden="0" customWidth="1"/>
    <x:col min="21" max="21" width="24" hidden="0" customWidth="1"/>
    <x:col min="23" max="23" width="24" hidden="0" customWidth="1"/>
    <x:col min="26" max="26" width="24" hidden="0" customWidth="1"/>
    <x:col min="28" max="28" width="24" hidden="0" customWidth="1"/>
    <x:col min="29" max="29" width="24" hidden="0" customWidth="1"/>
  </x:cols>
  <x:sheetData>
    <x:row r="1">
      <x:c r="A1" s="90" t="str">
        <x:v>Key</x:v>
      </x:c>
      <x:c r="B1" s="90" t="str">
        <x:v>Base Weight</x:v>
      </x:c>
      <x:c r="C1" s="90" t="str">
        <x:v>d6</x:v>
      </x:c>
      <x:c r="D1" s="90" t="str">
        <x:v>Alpha</x:v>
      </x:c>
      <x:c r="E1" s="90" t="str">
        <x:v>Bravo</x:v>
      </x:c>
      <x:c r="F1" s="90" t="str">
        <x:v>Charlie</x:v>
      </x:c>
      <x:c r="G1" s="90" t="str">
        <x:v>Result</x:v>
      </x:c>
      <x:c r="I1" s="90" t="str">
        <x:v>Key</x:v>
      </x:c>
      <x:c r="J1" s="90" t="str">
        <x:v>Star Weight</x:v>
      </x:c>
      <x:c r="K1" s="90" t="str">
        <x:v>d6</x:v>
      </x:c>
      <x:c r="L1" s="90" t="str">
        <x:v>Formation Type</x:v>
      </x:c>
      <x:c r="N1" s="90" t="str">
        <x:v>Key</x:v>
      </x:c>
      <x:c r="O1" s="90" t="str">
        <x:v>d6</x:v>
      </x:c>
      <x:c r="P1" s="90" t="str">
        <x:v>Level II Weight</x:v>
      </x:c>
      <x:c r="R1" s="90" t="str">
        <x:v>Key</x:v>
      </x:c>
      <x:c r="S1" s="90" t="str">
        <x:v>Level II Weight</x:v>
      </x:c>
      <x:c r="T1" s="90" t="str">
        <x:v>d6</x:v>
      </x:c>
      <x:c r="U1" s="90" t="str">
        <x:v>Unit Weight Distribution</x:v>
      </x:c>
      <x:c r="W1" s="90" t="str">
        <x:v>Key</x:v>
      </x:c>
      <x:c r="X1" s="90" t="str">
        <x:v>Level II Weight</x:v>
      </x:c>
      <x:c r="Y1" s="90" t="str">
        <x:v>d6</x:v>
      </x:c>
      <x:c r="Z1" s="90" t="str">
        <x:v>Formation Type</x:v>
      </x:c>
      <x:c r="AB1" s="90" t="str">
        <x:v>Key</x:v>
      </x:c>
      <x:c r="AC1" s="90" t="str">
        <x:v>Expected Track Force Size</x:v>
      </x:c>
      <x:c r="AD1" s="90" t="str">
        <x:v>Force Points</x:v>
      </x:c>
      <x:c r="AE1" s="90" t="str">
        <x:v>BV</x:v>
      </x:c>
      <x:c r="AF1" s="90" t="str">
        <x:v>PV</x:v>
      </x:c>
      <x:c r="AG1" s="90" t="str">
        <x:v>Clan Base BSP</x:v>
      </x:c>
      <x:c r="AH1" s="90" t="str">
        <x:v>ComStar Base BSP</x:v>
      </x:c>
      <x:c r="AI1" s="90" t="str">
        <x:v>Max Additional BSP</x:v>
      </x:c>
    </x:row>
    <x:row r="2">
      <x:c r="A2" t="str">
        <x:v>Light|1</x:v>
      </x:c>
      <x:c r="B2" t="str">
        <x:v>Light</x:v>
      </x:c>
      <x:c r="C2" t="n">
        <x:v>1</x:v>
      </x:c>
      <x:c r="D2" t="str">
        <x:v>Light</x:v>
      </x:c>
      <x:c r="E2" t="str">
        <x:v>Light</x:v>
      </x:c>
      <x:c r="F2" t="str">
        <x:v>Light</x:v>
      </x:c>
      <x:c r="G2" t="str">
        <x:v>Light / Light / Light</x:v>
      </x:c>
      <x:c r="I2" t="str">
        <x:v>Light|1</x:v>
      </x:c>
      <x:c r="J2" t="str">
        <x:v>Light</x:v>
      </x:c>
      <x:c r="K2" t="n">
        <x:v>1</x:v>
      </x:c>
      <x:c r="L2" t="str">
        <x:v>Battle</x:v>
      </x:c>
      <x:c r="N2" t="str">
        <x:v>CSW|1</x:v>
      </x:c>
      <x:c r="O2" t="n">
        <x:v>1</x:v>
      </x:c>
      <x:c r="P2" t="str">
        <x:v>Light</x:v>
      </x:c>
      <x:c r="R2" t="str">
        <x:v>Light|1</x:v>
      </x:c>
      <x:c r="S2" t="str">
        <x:v>Light</x:v>
      </x:c>
      <x:c r="T2" t="n">
        <x:v>1</x:v>
      </x:c>
      <x:c r="U2" t="str">
        <x:v>6 Light</x:v>
      </x:c>
      <x:c r="W2" t="str">
        <x:v>Light|1</x:v>
      </x:c>
      <x:c r="X2" t="str">
        <x:v>Light</x:v>
      </x:c>
      <x:c r="Y2" t="n">
        <x:v>1</x:v>
      </x:c>
      <x:c r="Z2" t="str">
        <x:v>Battle</x:v>
      </x:c>
      <x:c r="AB2" t="str">
        <x:v>Star</x:v>
      </x:c>
      <x:c r="AC2" t="str">
        <x:v>Star</x:v>
      </x:c>
      <x:c r="AD2" t="n">
        <x:v>250</x:v>
      </x:c>
      <x:c r="AE2" t="n">
        <x:v>40000</x:v>
      </x:c>
      <x:c r="AF2" t="n">
        <x:v>600</x:v>
      </x:c>
      <x:c r="AG2" t="n">
        <x:v>0</x:v>
      </x:c>
      <x:c r="AH2" t="n">
        <x:v>12</x:v>
      </x:c>
      <x:c r="AI2" t="n">
        <x:v>6</x:v>
      </x:c>
    </x:row>
    <x:row r="3">
      <x:c r="A3" t="str">
        <x:v>Light|2</x:v>
      </x:c>
      <x:c r="B3" t="str">
        <x:v>Light</x:v>
      </x:c>
      <x:c r="C3" t="n">
        <x:v>2</x:v>
      </x:c>
      <x:c r="D3" t="str">
        <x:v>Light</x:v>
      </x:c>
      <x:c r="E3" t="str">
        <x:v>Light</x:v>
      </x:c>
      <x:c r="F3" t="str">
        <x:v>Light</x:v>
      </x:c>
      <x:c r="G3" t="str">
        <x:v>Light / Light / Light</x:v>
      </x:c>
      <x:c r="I3" t="str">
        <x:v>Medium|1</x:v>
      </x:c>
      <x:c r="J3" t="str">
        <x:v>Medium</x:v>
      </x:c>
      <x:c r="K3" t="n">
        <x:v>1</x:v>
      </x:c>
      <x:c r="L3" t="str">
        <x:v>Battle</x:v>
      </x:c>
      <x:c r="N3" t="str">
        <x:v>CSW|2</x:v>
      </x:c>
      <x:c r="O3" t="n">
        <x:v>2</x:v>
      </x:c>
      <x:c r="P3" t="str">
        <x:v>Medium</x:v>
      </x:c>
      <x:c r="R3" t="str">
        <x:v>Medium|1</x:v>
      </x:c>
      <x:c r="S3" t="str">
        <x:v>Medium</x:v>
      </x:c>
      <x:c r="T3" t="n">
        <x:v>1</x:v>
      </x:c>
      <x:c r="U3" t="str">
        <x:v>1 Light, 4 Medium, 1 Heavy</x:v>
      </x:c>
      <x:c r="W3" t="str">
        <x:v>Medium|1</x:v>
      </x:c>
      <x:c r="X3" t="str">
        <x:v>Medium</x:v>
      </x:c>
      <x:c r="Y3" t="n">
        <x:v>1</x:v>
      </x:c>
      <x:c r="Z3" t="str">
        <x:v>Battle</x:v>
      </x:c>
      <x:c r="AB3" t="str">
        <x:v>Binary</x:v>
      </x:c>
      <x:c r="AC3" t="str">
        <x:v>Binary</x:v>
      </x:c>
      <x:c r="AD3" t="n">
        <x:v>500</x:v>
      </x:c>
      <x:c r="AE3" t="n">
        <x:v>80000</x:v>
      </x:c>
      <x:c r="AF3" t="n">
        <x:v>1200</x:v>
      </x:c>
      <x:c r="AG3" t="n">
        <x:v>0</x:v>
      </x:c>
      <x:c r="AH3" t="n">
        <x:v>24</x:v>
      </x:c>
      <x:c r="AI3" t="n">
        <x:v>12</x:v>
      </x:c>
    </x:row>
    <x:row r="4">
      <x:c r="A4" t="str">
        <x:v>Light|3</x:v>
      </x:c>
      <x:c r="B4" t="str">
        <x:v>Light</x:v>
      </x:c>
      <x:c r="C4" t="n">
        <x:v>3</x:v>
      </x:c>
      <x:c r="D4" t="str">
        <x:v>Light</x:v>
      </x:c>
      <x:c r="E4" t="str">
        <x:v>Light</x:v>
      </x:c>
      <x:c r="F4" t="str">
        <x:v>Light</x:v>
      </x:c>
      <x:c r="G4" t="str">
        <x:v>Light / Light / Light</x:v>
      </x:c>
      <x:c r="I4" t="str">
        <x:v>Heavy|1</x:v>
      </x:c>
      <x:c r="J4" t="str">
        <x:v>Heavy</x:v>
      </x:c>
      <x:c r="K4" t="n">
        <x:v>1</x:v>
      </x:c>
      <x:c r="L4" t="str">
        <x:v>Assault</x:v>
      </x:c>
      <x:c r="N4" t="str">
        <x:v>CSW|3</x:v>
      </x:c>
      <x:c r="O4" t="n">
        <x:v>3</x:v>
      </x:c>
      <x:c r="P4" t="str">
        <x:v>Medium</x:v>
      </x:c>
      <x:c r="R4" t="str">
        <x:v>Heavy|1</x:v>
      </x:c>
      <x:c r="S4" t="str">
        <x:v>Heavy</x:v>
      </x:c>
      <x:c r="T4" t="n">
        <x:v>1</x:v>
      </x:c>
      <x:c r="U4" t="str">
        <x:v>2 Medium, 4 Heavy</x:v>
      </x:c>
      <x:c r="W4" t="str">
        <x:v>Heavy|1</x:v>
      </x:c>
      <x:c r="X4" t="str">
        <x:v>Heavy</x:v>
      </x:c>
      <x:c r="Y4" t="n">
        <x:v>1</x:v>
      </x:c>
      <x:c r="Z4" t="str">
        <x:v>Assault</x:v>
      </x:c>
      <x:c r="AB4" t="str">
        <x:v>Trinary</x:v>
      </x:c>
      <x:c r="AC4" t="str">
        <x:v>Trinary</x:v>
      </x:c>
      <x:c r="AD4" t="n">
        <x:v>750</x:v>
      </x:c>
      <x:c r="AE4" t="n">
        <x:v>120000</x:v>
      </x:c>
      <x:c r="AF4" t="n">
        <x:v>1800</x:v>
      </x:c>
      <x:c r="AG4" t="n">
        <x:v>0</x:v>
      </x:c>
      <x:c r="AH4" t="n">
        <x:v>36</x:v>
      </x:c>
      <x:c r="AI4" t="n">
        <x:v>18</x:v>
      </x:c>
    </x:row>
    <x:row r="5">
      <x:c r="A5" t="str">
        <x:v>Light|4</x:v>
      </x:c>
      <x:c r="B5" t="str">
        <x:v>Light</x:v>
      </x:c>
      <x:c r="C5" t="n">
        <x:v>4</x:v>
      </x:c>
      <x:c r="D5" t="str">
        <x:v>Light</x:v>
      </x:c>
      <x:c r="E5" t="str">
        <x:v>Light</x:v>
      </x:c>
      <x:c r="F5" t="str">
        <x:v>Medium</x:v>
      </x:c>
      <x:c r="G5" t="str">
        <x:v>Light / Light / Medium</x:v>
      </x:c>
      <x:c r="I5" t="str">
        <x:v>Assault|1</x:v>
      </x:c>
      <x:c r="J5" t="str">
        <x:v>Assault</x:v>
      </x:c>
      <x:c r="K5" t="n">
        <x:v>1</x:v>
      </x:c>
      <x:c r="L5" t="str">
        <x:v>Assault</x:v>
      </x:c>
      <x:c r="N5" t="str">
        <x:v>CSW|4</x:v>
      </x:c>
      <x:c r="O5" t="n">
        <x:v>4</x:v>
      </x:c>
      <x:c r="P5" t="str">
        <x:v>Heavy</x:v>
      </x:c>
      <x:c r="R5" t="str">
        <x:v>Assault|1</x:v>
      </x:c>
      <x:c r="S5" t="str">
        <x:v>Assault</x:v>
      </x:c>
      <x:c r="T5" t="n">
        <x:v>1</x:v>
      </x:c>
      <x:c r="U5" t="str">
        <x:v>1 Medium, 3 Heavy, 2 Assault</x:v>
      </x:c>
      <x:c r="W5" t="str">
        <x:v>Assault|1</x:v>
      </x:c>
      <x:c r="X5" t="str">
        <x:v>Assault</x:v>
      </x:c>
      <x:c r="Y5" t="n">
        <x:v>1</x:v>
      </x:c>
      <x:c r="Z5" t="str">
        <x:v>Assault</x:v>
      </x:c>
    </x:row>
    <x:row r="6">
      <x:c r="A6" t="str">
        <x:v>Light|5</x:v>
      </x:c>
      <x:c r="B6" t="str">
        <x:v>Light</x:v>
      </x:c>
      <x:c r="C6" t="n">
        <x:v>5</x:v>
      </x:c>
      <x:c r="D6" t="str">
        <x:v>Light</x:v>
      </x:c>
      <x:c r="E6" t="str">
        <x:v>Light</x:v>
      </x:c>
      <x:c r="F6" t="str">
        <x:v>Medium</x:v>
      </x:c>
      <x:c r="G6" t="str">
        <x:v>Light / Light / Medium</x:v>
      </x:c>
      <x:c r="I6" t="str">
        <x:v>Light|2</x:v>
      </x:c>
      <x:c r="J6" t="str">
        <x:v>Light</x:v>
      </x:c>
      <x:c r="K6" t="n">
        <x:v>2</x:v>
      </x:c>
      <x:c r="L6" t="str">
        <x:v>Command</x:v>
      </x:c>
      <x:c r="N6" t="str">
        <x:v>CSW|5</x:v>
      </x:c>
      <x:c r="O6" t="n">
        <x:v>5</x:v>
      </x:c>
      <x:c r="P6" t="str">
        <x:v>Heavy</x:v>
      </x:c>
      <x:c r="R6" t="str">
        <x:v>Light|2</x:v>
      </x:c>
      <x:c r="S6" t="str">
        <x:v>Light</x:v>
      </x:c>
      <x:c r="T6" t="n">
        <x:v>2</x:v>
      </x:c>
      <x:c r="U6" t="str">
        <x:v>4 Light, 2 Medium</x:v>
      </x:c>
      <x:c r="W6" t="str">
        <x:v>Light|2</x:v>
      </x:c>
      <x:c r="X6" t="str">
        <x:v>Light</x:v>
      </x:c>
      <x:c r="Y6" t="n">
        <x:v>2</x:v>
      </x:c>
      <x:c r="Z6" t="str">
        <x:v>Command</x:v>
      </x:c>
    </x:row>
    <x:row r="7">
      <x:c r="A7" t="str">
        <x:v>Light|6</x:v>
      </x:c>
      <x:c r="B7" t="str">
        <x:v>Light</x:v>
      </x:c>
      <x:c r="C7" t="n">
        <x:v>6</x:v>
      </x:c>
      <x:c r="D7" t="str">
        <x:v>Light</x:v>
      </x:c>
      <x:c r="E7" t="str">
        <x:v>Light</x:v>
      </x:c>
      <x:c r="F7" t="str">
        <x:v>Medium</x:v>
      </x:c>
      <x:c r="G7" t="str">
        <x:v>Light / Light / Medium</x:v>
      </x:c>
      <x:c r="I7" t="str">
        <x:v>Medium|2</x:v>
      </x:c>
      <x:c r="J7" t="str">
        <x:v>Medium</x:v>
      </x:c>
      <x:c r="K7" t="n">
        <x:v>2</x:v>
      </x:c>
      <x:c r="L7" t="str">
        <x:v>Battle</x:v>
      </x:c>
      <x:c r="N7" t="str">
        <x:v>CSW|6</x:v>
      </x:c>
      <x:c r="O7" t="n">
        <x:v>6</x:v>
      </x:c>
      <x:c r="P7" t="str">
        <x:v>Assault</x:v>
      </x:c>
      <x:c r="R7" t="str">
        <x:v>Medium|2</x:v>
      </x:c>
      <x:c r="S7" t="str">
        <x:v>Medium</x:v>
      </x:c>
      <x:c r="T7" t="n">
        <x:v>2</x:v>
      </x:c>
      <x:c r="U7" t="str">
        <x:v>1 Light, 3 Medium, 2 Heavy</x:v>
      </x:c>
      <x:c r="W7" t="str">
        <x:v>Medium|2</x:v>
      </x:c>
      <x:c r="X7" t="str">
        <x:v>Medium</x:v>
      </x:c>
      <x:c r="Y7" t="n">
        <x:v>2</x:v>
      </x:c>
      <x:c r="Z7" t="str">
        <x:v>Battle</x:v>
      </x:c>
    </x:row>
    <x:row r="8">
      <x:c r="A8" t="str">
        <x:v>Medium|1</x:v>
      </x:c>
      <x:c r="B8" t="str">
        <x:v>Medium</x:v>
      </x:c>
      <x:c r="C8" t="n">
        <x:v>1</x:v>
      </x:c>
      <x:c r="D8" t="str">
        <x:v>Medium</x:v>
      </x:c>
      <x:c r="E8" t="str">
        <x:v>Light</x:v>
      </x:c>
      <x:c r="F8" t="str">
        <x:v>Light</x:v>
      </x:c>
      <x:c r="G8" t="str">
        <x:v>Medium / Light / Light</x:v>
      </x:c>
      <x:c r="I8" t="str">
        <x:v>Heavy|2</x:v>
      </x:c>
      <x:c r="J8" t="str">
        <x:v>Heavy</x:v>
      </x:c>
      <x:c r="K8" t="n">
        <x:v>2</x:v>
      </x:c>
      <x:c r="L8" t="str">
        <x:v>Battle</x:v>
      </x:c>
      <x:c r="R8" t="str">
        <x:v>Heavy|2</x:v>
      </x:c>
      <x:c r="S8" t="str">
        <x:v>Heavy</x:v>
      </x:c>
      <x:c r="T8" t="n">
        <x:v>2</x:v>
      </x:c>
      <x:c r="U8" t="str">
        <x:v>1 Medium, 5 Heavy</x:v>
      </x:c>
      <x:c r="W8" t="str">
        <x:v>Heavy|2</x:v>
      </x:c>
      <x:c r="X8" t="str">
        <x:v>Heavy</x:v>
      </x:c>
      <x:c r="Y8" t="n">
        <x:v>2</x:v>
      </x:c>
      <x:c r="Z8" t="str">
        <x:v>Battle</x:v>
      </x:c>
    </x:row>
    <x:row r="9">
      <x:c r="A9" t="str">
        <x:v>Medium|2</x:v>
      </x:c>
      <x:c r="B9" t="str">
        <x:v>Medium</x:v>
      </x:c>
      <x:c r="C9" t="n">
        <x:v>2</x:v>
      </x:c>
      <x:c r="D9" t="str">
        <x:v>Medium</x:v>
      </x:c>
      <x:c r="E9" t="str">
        <x:v>Light</x:v>
      </x:c>
      <x:c r="F9" t="str">
        <x:v>Light</x:v>
      </x:c>
      <x:c r="G9" t="str">
        <x:v>Medium / Light / Light</x:v>
      </x:c>
      <x:c r="I9" t="str">
        <x:v>Assault|2</x:v>
      </x:c>
      <x:c r="J9" t="str">
        <x:v>Assault</x:v>
      </x:c>
      <x:c r="K9" t="n">
        <x:v>2</x:v>
      </x:c>
      <x:c r="L9" t="str">
        <x:v>Assault</x:v>
      </x:c>
      <x:c r="R9" t="str">
        <x:v>Assault|2</x:v>
      </x:c>
      <x:c r="S9" t="str">
        <x:v>Assault</x:v>
      </x:c>
      <x:c r="T9" t="n">
        <x:v>2</x:v>
      </x:c>
      <x:c r="U9" t="str">
        <x:v>4 Heavy, 2 Assault</x:v>
      </x:c>
      <x:c r="W9" t="str">
        <x:v>Assault|2</x:v>
      </x:c>
      <x:c r="X9" t="str">
        <x:v>Assault</x:v>
      </x:c>
      <x:c r="Y9" t="n">
        <x:v>2</x:v>
      </x:c>
      <x:c r="Z9" t="str">
        <x:v>Assault</x:v>
      </x:c>
    </x:row>
    <x:row r="10">
      <x:c r="A10" t="str">
        <x:v>Medium|3</x:v>
      </x:c>
      <x:c r="B10" t="str">
        <x:v>Medium</x:v>
      </x:c>
      <x:c r="C10" t="n">
        <x:v>3</x:v>
      </x:c>
      <x:c r="D10" t="str">
        <x:v>Medium</x:v>
      </x:c>
      <x:c r="E10" t="str">
        <x:v>Medium</x:v>
      </x:c>
      <x:c r="F10" t="str">
        <x:v>Light</x:v>
      </x:c>
      <x:c r="G10" t="str">
        <x:v>Medium / Medium / Light</x:v>
      </x:c>
      <x:c r="I10" t="str">
        <x:v>Light|3</x:v>
      </x:c>
      <x:c r="J10" t="str">
        <x:v>Light</x:v>
      </x:c>
      <x:c r="K10" t="n">
        <x:v>3</x:v>
      </x:c>
      <x:c r="L10" t="str">
        <x:v>Fire</x:v>
      </x:c>
      <x:c r="R10" t="str">
        <x:v>Light|3</x:v>
      </x:c>
      <x:c r="S10" t="str">
        <x:v>Light</x:v>
      </x:c>
      <x:c r="T10" t="n">
        <x:v>3</x:v>
      </x:c>
      <x:c r="U10" t="str">
        <x:v>4 Light, 2 Medium</x:v>
      </x:c>
      <x:c r="W10" t="str">
        <x:v>Light|3</x:v>
      </x:c>
      <x:c r="X10" t="str">
        <x:v>Light</x:v>
      </x:c>
      <x:c r="Y10" t="n">
        <x:v>3</x:v>
      </x:c>
      <x:c r="Z10" t="str">
        <x:v>Fire</x:v>
      </x:c>
    </x:row>
    <x:row r="11">
      <x:c r="A11" t="str">
        <x:v>Medium|4</x:v>
      </x:c>
      <x:c r="B11" t="str">
        <x:v>Medium</x:v>
      </x:c>
      <x:c r="C11" t="n">
        <x:v>4</x:v>
      </x:c>
      <x:c r="D11" t="str">
        <x:v>Medium</x:v>
      </x:c>
      <x:c r="E11" t="str">
        <x:v>Medium</x:v>
      </x:c>
      <x:c r="F11" t="str">
        <x:v>Light</x:v>
      </x:c>
      <x:c r="G11" t="str">
        <x:v>Medium / Medium / Light</x:v>
      </x:c>
      <x:c r="I11" t="str">
        <x:v>Medium|3</x:v>
      </x:c>
      <x:c r="J11" t="str">
        <x:v>Medium</x:v>
      </x:c>
      <x:c r="K11" t="n">
        <x:v>3</x:v>
      </x:c>
      <x:c r="L11" t="str">
        <x:v>Command</x:v>
      </x:c>
      <x:c r="R11" t="str">
        <x:v>Medium|3</x:v>
      </x:c>
      <x:c r="S11" t="str">
        <x:v>Medium</x:v>
      </x:c>
      <x:c r="T11" t="n">
        <x:v>3</x:v>
      </x:c>
      <x:c r="U11" t="str">
        <x:v>1 Light, 3 Medium, 2 Heavy</x:v>
      </x:c>
      <x:c r="W11" t="str">
        <x:v>Medium|3</x:v>
      </x:c>
      <x:c r="X11" t="str">
        <x:v>Medium</x:v>
      </x:c>
      <x:c r="Y11" t="n">
        <x:v>3</x:v>
      </x:c>
      <x:c r="Z11" t="str">
        <x:v>Command</x:v>
      </x:c>
    </x:row>
    <x:row r="12">
      <x:c r="A12" t="str">
        <x:v>Medium|5</x:v>
      </x:c>
      <x:c r="B12" t="str">
        <x:v>Medium</x:v>
      </x:c>
      <x:c r="C12" t="n">
        <x:v>5</x:v>
      </x:c>
      <x:c r="D12" t="str">
        <x:v>Heavy</x:v>
      </x:c>
      <x:c r="E12" t="str">
        <x:v>Light</x:v>
      </x:c>
      <x:c r="F12" t="str">
        <x:v>Medium</x:v>
      </x:c>
      <x:c r="G12" t="str">
        <x:v>Heavy / Light / Medium</x:v>
      </x:c>
      <x:c r="I12" t="str">
        <x:v>Heavy|3</x:v>
      </x:c>
      <x:c r="J12" t="str">
        <x:v>Heavy</x:v>
      </x:c>
      <x:c r="K12" t="n">
        <x:v>3</x:v>
      </x:c>
      <x:c r="L12" t="str">
        <x:v>Battle</x:v>
      </x:c>
      <x:c r="R12" t="str">
        <x:v>Heavy|3</x:v>
      </x:c>
      <x:c r="S12" t="str">
        <x:v>Heavy</x:v>
      </x:c>
      <x:c r="T12" t="n">
        <x:v>3</x:v>
      </x:c>
      <x:c r="U12" t="str">
        <x:v>1 Medium, 5 Heavy</x:v>
      </x:c>
      <x:c r="W12" t="str">
        <x:v>Heavy|3</x:v>
      </x:c>
      <x:c r="X12" t="str">
        <x:v>Heavy</x:v>
      </x:c>
      <x:c r="Y12" t="n">
        <x:v>3</x:v>
      </x:c>
      <x:c r="Z12" t="str">
        <x:v>Battle</x:v>
      </x:c>
    </x:row>
    <x:row r="13">
      <x:c r="A13" t="str">
        <x:v>Medium|6</x:v>
      </x:c>
      <x:c r="B13" t="str">
        <x:v>Medium</x:v>
      </x:c>
      <x:c r="C13" t="n">
        <x:v>6</x:v>
      </x:c>
      <x:c r="D13" t="str">
        <x:v>Heavy</x:v>
      </x:c>
      <x:c r="E13" t="str">
        <x:v>Light</x:v>
      </x:c>
      <x:c r="F13" t="str">
        <x:v>Medium</x:v>
      </x:c>
      <x:c r="G13" t="str">
        <x:v>Heavy / Light / Medium</x:v>
      </x:c>
      <x:c r="I13" t="str">
        <x:v>Assault|3</x:v>
      </x:c>
      <x:c r="J13" t="str">
        <x:v>Assault</x:v>
      </x:c>
      <x:c r="K13" t="n">
        <x:v>3</x:v>
      </x:c>
      <x:c r="L13" t="str">
        <x:v>Battle</x:v>
      </x:c>
      <x:c r="R13" t="str">
        <x:v>Assault|3</x:v>
      </x:c>
      <x:c r="S13" t="str">
        <x:v>Assault</x:v>
      </x:c>
      <x:c r="T13" t="n">
        <x:v>3</x:v>
      </x:c>
      <x:c r="U13" t="str">
        <x:v>4 Heavy, 2 Assault</x:v>
      </x:c>
      <x:c r="W13" t="str">
        <x:v>Assault|3</x:v>
      </x:c>
      <x:c r="X13" t="str">
        <x:v>Assault</x:v>
      </x:c>
      <x:c r="Y13" t="n">
        <x:v>3</x:v>
      </x:c>
      <x:c r="Z13" t="str">
        <x:v>Battle</x:v>
      </x:c>
    </x:row>
    <x:row r="14">
      <x:c r="A14" t="str">
        <x:v>Heavy|1</x:v>
      </x:c>
      <x:c r="B14" t="str">
        <x:v>Heavy</x:v>
      </x:c>
      <x:c r="C14" t="n">
        <x:v>1</x:v>
      </x:c>
      <x:c r="D14" t="str">
        <x:v>Heavy</x:v>
      </x:c>
      <x:c r="E14" t="str">
        <x:v>Medium</x:v>
      </x:c>
      <x:c r="F14" t="str">
        <x:v>Medium</x:v>
      </x:c>
      <x:c r="G14" t="str">
        <x:v>Heavy / Medium / Medium</x:v>
      </x:c>
      <x:c r="I14" t="str">
        <x:v>Light|4</x:v>
      </x:c>
      <x:c r="J14" t="str">
        <x:v>Light</x:v>
      </x:c>
      <x:c r="K14" t="n">
        <x:v>4</x:v>
      </x:c>
      <x:c r="L14" t="str">
        <x:v>Striker</x:v>
      </x:c>
      <x:c r="R14" t="str">
        <x:v>Light|4</x:v>
      </x:c>
      <x:c r="S14" t="str">
        <x:v>Light</x:v>
      </x:c>
      <x:c r="T14" t="n">
        <x:v>4</x:v>
      </x:c>
      <x:c r="U14" t="str">
        <x:v>3 Light, 3 Medium</x:v>
      </x:c>
      <x:c r="W14" t="str">
        <x:v>Light|4</x:v>
      </x:c>
      <x:c r="X14" t="str">
        <x:v>Light</x:v>
      </x:c>
      <x:c r="Y14" t="n">
        <x:v>4</x:v>
      </x:c>
      <x:c r="Z14" t="str">
        <x:v>Striker</x:v>
      </x:c>
    </x:row>
    <x:row r="15">
      <x:c r="A15" t="str">
        <x:v>Heavy|2</x:v>
      </x:c>
      <x:c r="B15" t="str">
        <x:v>Heavy</x:v>
      </x:c>
      <x:c r="C15" t="n">
        <x:v>2</x:v>
      </x:c>
      <x:c r="D15" t="str">
        <x:v>Heavy</x:v>
      </x:c>
      <x:c r="E15" t="str">
        <x:v>Medium</x:v>
      </x:c>
      <x:c r="F15" t="str">
        <x:v>Medium</x:v>
      </x:c>
      <x:c r="G15" t="str">
        <x:v>Heavy / Medium / Medium</x:v>
      </x:c>
      <x:c r="I15" t="str">
        <x:v>Medium|4</x:v>
      </x:c>
      <x:c r="J15" t="str">
        <x:v>Medium</x:v>
      </x:c>
      <x:c r="K15" t="n">
        <x:v>4</x:v>
      </x:c>
      <x:c r="L15" t="str">
        <x:v>Fire</x:v>
      </x:c>
      <x:c r="R15" t="str">
        <x:v>Medium|4</x:v>
      </x:c>
      <x:c r="S15" t="str">
        <x:v>Medium</x:v>
      </x:c>
      <x:c r="T15" t="n">
        <x:v>4</x:v>
      </x:c>
      <x:c r="U15" t="str">
        <x:v>4 Medium, 2 Heavy</x:v>
      </x:c>
      <x:c r="W15" t="str">
        <x:v>Medium|4</x:v>
      </x:c>
      <x:c r="X15" t="str">
        <x:v>Medium</x:v>
      </x:c>
      <x:c r="Y15" t="n">
        <x:v>4</x:v>
      </x:c>
      <x:c r="Z15" t="str">
        <x:v>Fire</x:v>
      </x:c>
    </x:row>
    <x:row r="16">
      <x:c r="A16" t="str">
        <x:v>Heavy|3</x:v>
      </x:c>
      <x:c r="B16" t="str">
        <x:v>Heavy</x:v>
      </x:c>
      <x:c r="C16" t="n">
        <x:v>3</x:v>
      </x:c>
      <x:c r="D16" t="str">
        <x:v>Heavy</x:v>
      </x:c>
      <x:c r="E16" t="str">
        <x:v>Heavy</x:v>
      </x:c>
      <x:c r="F16" t="str">
        <x:v>Medium</x:v>
      </x:c>
      <x:c r="G16" t="str">
        <x:v>Heavy / Heavy / Medium</x:v>
      </x:c>
      <x:c r="I16" t="str">
        <x:v>Heavy|4</x:v>
      </x:c>
      <x:c r="J16" t="str">
        <x:v>Heavy</x:v>
      </x:c>
      <x:c r="K16" t="n">
        <x:v>4</x:v>
      </x:c>
      <x:c r="L16" t="str">
        <x:v>Command</x:v>
      </x:c>
      <x:c r="R16" t="str">
        <x:v>Heavy|4</x:v>
      </x:c>
      <x:c r="S16" t="str">
        <x:v>Heavy</x:v>
      </x:c>
      <x:c r="T16" t="n">
        <x:v>4</x:v>
      </x:c>
      <x:c r="U16" t="str">
        <x:v>5 Heavy, 1 Assault</x:v>
      </x:c>
      <x:c r="W16" t="str">
        <x:v>Heavy|4</x:v>
      </x:c>
      <x:c r="X16" t="str">
        <x:v>Heavy</x:v>
      </x:c>
      <x:c r="Y16" t="n">
        <x:v>4</x:v>
      </x:c>
      <x:c r="Z16" t="str">
        <x:v>Command</x:v>
      </x:c>
    </x:row>
    <x:row r="17">
      <x:c r="A17" t="str">
        <x:v>Heavy|4</x:v>
      </x:c>
      <x:c r="B17" t="str">
        <x:v>Heavy</x:v>
      </x:c>
      <x:c r="C17" t="n">
        <x:v>4</x:v>
      </x:c>
      <x:c r="D17" t="str">
        <x:v>Heavy</x:v>
      </x:c>
      <x:c r="E17" t="str">
        <x:v>Heavy</x:v>
      </x:c>
      <x:c r="F17" t="str">
        <x:v>Medium</x:v>
      </x:c>
      <x:c r="G17" t="str">
        <x:v>Heavy / Heavy / Medium</x:v>
      </x:c>
      <x:c r="I17" t="str">
        <x:v>Assault|4</x:v>
      </x:c>
      <x:c r="J17" t="str">
        <x:v>Assault</x:v>
      </x:c>
      <x:c r="K17" t="n">
        <x:v>4</x:v>
      </x:c>
      <x:c r="L17" t="str">
        <x:v>Battle</x:v>
      </x:c>
      <x:c r="R17" t="str">
        <x:v>Assault|4</x:v>
      </x:c>
      <x:c r="S17" t="str">
        <x:v>Assault</x:v>
      </x:c>
      <x:c r="T17" t="n">
        <x:v>4</x:v>
      </x:c>
      <x:c r="U17" t="str">
        <x:v>3 Heavy, 3 Assault</x:v>
      </x:c>
      <x:c r="W17" t="str">
        <x:v>Assault|4</x:v>
      </x:c>
      <x:c r="X17" t="str">
        <x:v>Assault</x:v>
      </x:c>
      <x:c r="Y17" t="n">
        <x:v>4</x:v>
      </x:c>
      <x:c r="Z17" t="str">
        <x:v>Battle</x:v>
      </x:c>
    </x:row>
    <x:row r="18">
      <x:c r="A18" t="str">
        <x:v>Heavy|5</x:v>
      </x:c>
      <x:c r="B18" t="str">
        <x:v>Heavy</x:v>
      </x:c>
      <x:c r="C18" t="n">
        <x:v>5</x:v>
      </x:c>
      <x:c r="D18" t="str">
        <x:v>Assault</x:v>
      </x:c>
      <x:c r="E18" t="str">
        <x:v>Medium</x:v>
      </x:c>
      <x:c r="F18" t="str">
        <x:v>Heavy</x:v>
      </x:c>
      <x:c r="G18" t="str">
        <x:v>Assault / Medium / Heavy</x:v>
      </x:c>
      <x:c r="I18" t="str">
        <x:v>Light|5</x:v>
      </x:c>
      <x:c r="J18" t="str">
        <x:v>Light</x:v>
      </x:c>
      <x:c r="K18" t="n">
        <x:v>5</x:v>
      </x:c>
      <x:c r="L18" t="str">
        <x:v>Striker</x:v>
      </x:c>
      <x:c r="R18" t="str">
        <x:v>Light|5</x:v>
      </x:c>
      <x:c r="S18" t="str">
        <x:v>Light</x:v>
      </x:c>
      <x:c r="T18" t="n">
        <x:v>5</x:v>
      </x:c>
      <x:c r="U18" t="str">
        <x:v>3 Light, 3 Medium</x:v>
      </x:c>
      <x:c r="W18" t="str">
        <x:v>Light|5</x:v>
      </x:c>
      <x:c r="X18" t="str">
        <x:v>Light</x:v>
      </x:c>
      <x:c r="Y18" t="n">
        <x:v>5</x:v>
      </x:c>
      <x:c r="Z18" t="str">
        <x:v>Striker</x:v>
      </x:c>
    </x:row>
    <x:row r="19">
      <x:c r="A19" t="str">
        <x:v>Heavy|6</x:v>
      </x:c>
      <x:c r="B19" t="str">
        <x:v>Heavy</x:v>
      </x:c>
      <x:c r="C19" t="n">
        <x:v>6</x:v>
      </x:c>
      <x:c r="D19" t="str">
        <x:v>Assault</x:v>
      </x:c>
      <x:c r="E19" t="str">
        <x:v>Medium</x:v>
      </x:c>
      <x:c r="F19" t="str">
        <x:v>Heavy</x:v>
      </x:c>
      <x:c r="G19" t="str">
        <x:v>Assault / Medium / Heavy</x:v>
      </x:c>
      <x:c r="I19" t="str">
        <x:v>Medium|5</x:v>
      </x:c>
      <x:c r="J19" t="str">
        <x:v>Medium</x:v>
      </x:c>
      <x:c r="K19" t="n">
        <x:v>5</x:v>
      </x:c>
      <x:c r="L19" t="str">
        <x:v>Striker</x:v>
      </x:c>
      <x:c r="R19" t="str">
        <x:v>Medium|5</x:v>
      </x:c>
      <x:c r="S19" t="str">
        <x:v>Medium</x:v>
      </x:c>
      <x:c r="T19" t="n">
        <x:v>5</x:v>
      </x:c>
      <x:c r="U19" t="str">
        <x:v>4 Medium, 2 Heavy</x:v>
      </x:c>
      <x:c r="W19" t="str">
        <x:v>Medium|5</x:v>
      </x:c>
      <x:c r="X19" t="str">
        <x:v>Medium</x:v>
      </x:c>
      <x:c r="Y19" t="n">
        <x:v>5</x:v>
      </x:c>
      <x:c r="Z19" t="str">
        <x:v>Striker</x:v>
      </x:c>
    </x:row>
    <x:row r="20">
      <x:c r="A20" t="str">
        <x:v>Assault|1</x:v>
      </x:c>
      <x:c r="B20" t="str">
        <x:v>Assault</x:v>
      </x:c>
      <x:c r="C20" t="n">
        <x:v>1</x:v>
      </x:c>
      <x:c r="D20" t="str">
        <x:v>Assault</x:v>
      </x:c>
      <x:c r="E20" t="str">
        <x:v>Heavy</x:v>
      </x:c>
      <x:c r="F20" t="str">
        <x:v>Heavy</x:v>
      </x:c>
      <x:c r="G20" t="str">
        <x:v>Assault / Heavy / Heavy</x:v>
      </x:c>
      <x:c r="I20" t="str">
        <x:v>Heavy|5</x:v>
      </x:c>
      <x:c r="J20" t="str">
        <x:v>Heavy</x:v>
      </x:c>
      <x:c r="K20" t="n">
        <x:v>5</x:v>
      </x:c>
      <x:c r="L20" t="str">
        <x:v>Fire</x:v>
      </x:c>
      <x:c r="R20" t="str">
        <x:v>Heavy|5</x:v>
      </x:c>
      <x:c r="S20" t="str">
        <x:v>Heavy</x:v>
      </x:c>
      <x:c r="T20" t="n">
        <x:v>5</x:v>
      </x:c>
      <x:c r="U20" t="str">
        <x:v>5 Heavy, 1 Assault</x:v>
      </x:c>
      <x:c r="W20" t="str">
        <x:v>Heavy|5</x:v>
      </x:c>
      <x:c r="X20" t="str">
        <x:v>Heavy</x:v>
      </x:c>
      <x:c r="Y20" t="n">
        <x:v>5</x:v>
      </x:c>
      <x:c r="Z20" t="str">
        <x:v>Fire</x:v>
      </x:c>
    </x:row>
    <x:row r="21">
      <x:c r="A21" t="str">
        <x:v>Assault|2</x:v>
      </x:c>
      <x:c r="B21" t="str">
        <x:v>Assault</x:v>
      </x:c>
      <x:c r="C21" t="n">
        <x:v>2</x:v>
      </x:c>
      <x:c r="D21" t="str">
        <x:v>Assault</x:v>
      </x:c>
      <x:c r="E21" t="str">
        <x:v>Heavy</x:v>
      </x:c>
      <x:c r="F21" t="str">
        <x:v>Heavy</x:v>
      </x:c>
      <x:c r="G21" t="str">
        <x:v>Assault / Heavy / Heavy</x:v>
      </x:c>
      <x:c r="I21" t="str">
        <x:v>Assault|5</x:v>
      </x:c>
      <x:c r="J21" t="str">
        <x:v>Assault</x:v>
      </x:c>
      <x:c r="K21" t="n">
        <x:v>5</x:v>
      </x:c>
      <x:c r="L21" t="str">
        <x:v>Command</x:v>
      </x:c>
      <x:c r="R21" t="str">
        <x:v>Assault|5</x:v>
      </x:c>
      <x:c r="S21" t="str">
        <x:v>Assault</x:v>
      </x:c>
      <x:c r="T21" t="n">
        <x:v>5</x:v>
      </x:c>
      <x:c r="U21" t="str">
        <x:v>3 Heavy, 3 Assault</x:v>
      </x:c>
      <x:c r="W21" t="str">
        <x:v>Assault|5</x:v>
      </x:c>
      <x:c r="X21" t="str">
        <x:v>Assault</x:v>
      </x:c>
      <x:c r="Y21" t="n">
        <x:v>5</x:v>
      </x:c>
      <x:c r="Z21" t="str">
        <x:v>Command</x:v>
      </x:c>
    </x:row>
    <x:row r="22">
      <x:c r="A22" t="str">
        <x:v>Assault|3</x:v>
      </x:c>
      <x:c r="B22" t="str">
        <x:v>Assault</x:v>
      </x:c>
      <x:c r="C22" t="n">
        <x:v>3</x:v>
      </x:c>
      <x:c r="D22" t="str">
        <x:v>Assault</x:v>
      </x:c>
      <x:c r="E22" t="str">
        <x:v>Assault</x:v>
      </x:c>
      <x:c r="F22" t="str">
        <x:v>Heavy</x:v>
      </x:c>
      <x:c r="G22" t="str">
        <x:v>Assault / Assault / Heavy</x:v>
      </x:c>
      <x:c r="I22" t="str">
        <x:v>Light|6</x:v>
      </x:c>
      <x:c r="J22" t="str">
        <x:v>Light</x:v>
      </x:c>
      <x:c r="K22" t="n">
        <x:v>6</x:v>
      </x:c>
      <x:c r="L22" t="str">
        <x:v>Striker</x:v>
      </x:c>
      <x:c r="R22" t="str">
        <x:v>Light|6</x:v>
      </x:c>
      <x:c r="S22" t="str">
        <x:v>Light</x:v>
      </x:c>
      <x:c r="T22" t="n">
        <x:v>6</x:v>
      </x:c>
      <x:c r="U22" t="str">
        <x:v>2 Light, 2 Medium, 2 Heavy</x:v>
      </x:c>
      <x:c r="W22" t="str">
        <x:v>Light|6</x:v>
      </x:c>
      <x:c r="X22" t="str">
        <x:v>Light</x:v>
      </x:c>
      <x:c r="Y22" t="n">
        <x:v>6</x:v>
      </x:c>
      <x:c r="Z22" t="str">
        <x:v>Striker</x:v>
      </x:c>
    </x:row>
    <x:row r="23">
      <x:c r="A23" t="str">
        <x:v>Assault|4</x:v>
      </x:c>
      <x:c r="B23" t="str">
        <x:v>Assault</x:v>
      </x:c>
      <x:c r="C23" t="n">
        <x:v>4</x:v>
      </x:c>
      <x:c r="D23" t="str">
        <x:v>Assault</x:v>
      </x:c>
      <x:c r="E23" t="str">
        <x:v>Assault</x:v>
      </x:c>
      <x:c r="F23" t="str">
        <x:v>Heavy</x:v>
      </x:c>
      <x:c r="G23" t="str">
        <x:v>Assault / Assault / Heavy</x:v>
      </x:c>
      <x:c r="I23" t="str">
        <x:v>Medium|6</x:v>
      </x:c>
      <x:c r="J23" t="str">
        <x:v>Medium</x:v>
      </x:c>
      <x:c r="K23" t="n">
        <x:v>6</x:v>
      </x:c>
      <x:c r="L23" t="str">
        <x:v>Striker</x:v>
      </x:c>
      <x:c r="R23" t="str">
        <x:v>Medium|6</x:v>
      </x:c>
      <x:c r="S23" t="str">
        <x:v>Medium</x:v>
      </x:c>
      <x:c r="T23" t="n">
        <x:v>6</x:v>
      </x:c>
      <x:c r="U23" t="str">
        <x:v>3 Medium, 3 Heavy</x:v>
      </x:c>
      <x:c r="W23" t="str">
        <x:v>Medium|6</x:v>
      </x:c>
      <x:c r="X23" t="str">
        <x:v>Medium</x:v>
      </x:c>
      <x:c r="Y23" t="n">
        <x:v>6</x:v>
      </x:c>
      <x:c r="Z23" t="str">
        <x:v>Striker</x:v>
      </x:c>
    </x:row>
    <x:row r="24">
      <x:c r="A24" t="str">
        <x:v>Assault|5</x:v>
      </x:c>
      <x:c r="B24" t="str">
        <x:v>Assault</x:v>
      </x:c>
      <x:c r="C24" t="n">
        <x:v>5</x:v>
      </x:c>
      <x:c r="D24" t="str">
        <x:v>Assault</x:v>
      </x:c>
      <x:c r="E24" t="str">
        <x:v>Assault</x:v>
      </x:c>
      <x:c r="F24" t="str">
        <x:v>Assault</x:v>
      </x:c>
      <x:c r="G24" t="str">
        <x:v>Assault / Assault / Assault</x:v>
      </x:c>
      <x:c r="I24" t="str">
        <x:v>Heavy|6</x:v>
      </x:c>
      <x:c r="J24" t="str">
        <x:v>Heavy</x:v>
      </x:c>
      <x:c r="K24" t="n">
        <x:v>6</x:v>
      </x:c>
      <x:c r="L24" t="str">
        <x:v>Striker</x:v>
      </x:c>
      <x:c r="R24" t="str">
        <x:v>Heavy|6</x:v>
      </x:c>
      <x:c r="S24" t="str">
        <x:v>Heavy</x:v>
      </x:c>
      <x:c r="T24" t="n">
        <x:v>6</x:v>
      </x:c>
      <x:c r="U24" t="str">
        <x:v>4 Heavy, 2 Assault</x:v>
      </x:c>
      <x:c r="W24" t="str">
        <x:v>Heavy|6</x:v>
      </x:c>
      <x:c r="X24" t="str">
        <x:v>Heavy</x:v>
      </x:c>
      <x:c r="Y24" t="n">
        <x:v>6</x:v>
      </x:c>
      <x:c r="Z24" t="str">
        <x:v>Striker</x:v>
      </x:c>
    </x:row>
    <x:row r="25">
      <x:c r="A25" t="str">
        <x:v>Assault|6</x:v>
      </x:c>
      <x:c r="B25" t="str">
        <x:v>Assault</x:v>
      </x:c>
      <x:c r="C25" t="n">
        <x:v>6</x:v>
      </x:c>
      <x:c r="D25" t="str">
        <x:v>Assault</x:v>
      </x:c>
      <x:c r="E25" t="str">
        <x:v>Assault</x:v>
      </x:c>
      <x:c r="F25" t="str">
        <x:v>Assault</x:v>
      </x:c>
      <x:c r="G25" t="str">
        <x:v>Assault / Assault / Assault</x:v>
      </x:c>
      <x:c r="I25" t="str">
        <x:v>Assault|6</x:v>
      </x:c>
      <x:c r="J25" t="str">
        <x:v>Assault</x:v>
      </x:c>
      <x:c r="K25" t="n">
        <x:v>6</x:v>
      </x:c>
      <x:c r="L25" t="str">
        <x:v>Fire</x:v>
      </x:c>
      <x:c r="R25" t="str">
        <x:v>Assault|6</x:v>
      </x:c>
      <x:c r="S25" t="str">
        <x:v>Assault</x:v>
      </x:c>
      <x:c r="T25" t="n">
        <x:v>6</x:v>
      </x:c>
      <x:c r="U25" t="str">
        <x:v>2 Heavy, 4 Assault</x:v>
      </x:c>
      <x:c r="W25" t="str">
        <x:v>Assault|6</x:v>
      </x:c>
      <x:c r="X25" t="str">
        <x:v>Assault</x:v>
      </x:c>
      <x:c r="Y25" t="n">
        <x:v>6</x:v>
      </x:c>
      <x:c r="Z25" t="str">
        <x:v>Fire</x:v>
      </x:c>
    </x:row>
  </x:sheetData>
  <x:pageMargins left="0.7" right="0.7" top="0.75" bottom="0.75" header="0.3" footer="0.3"/>
  <x:tableParts count="6">
    <x:tablePart xmlns:r="http://schemas.openxmlformats.org/officeDocument/2006/relationships" r:id="R7f14c9e7c3674253"/>
    <x:tablePart xmlns:r="http://schemas.openxmlformats.org/officeDocument/2006/relationships" r:id="Re4dfbe1fe9a0445f"/>
    <x:tablePart xmlns:r="http://schemas.openxmlformats.org/officeDocument/2006/relationships" r:id="R70241ea33b8b4ef6"/>
    <x:tablePart xmlns:r="http://schemas.openxmlformats.org/officeDocument/2006/relationships" r:id="Rf616008132824638"/>
    <x:tablePart xmlns:r="http://schemas.openxmlformats.org/officeDocument/2006/relationships" r:id="R1f3c8ca7f8c046e0"/>
    <x:tablePart xmlns:r="http://schemas.openxmlformats.org/officeDocument/2006/relationships" r:id="R83a23dfb139c4ec3"/>
  </x:tableParts>
</x:worksheet>
</file>

<file path=xl/worksheets/sheet24.xml><?xml version="1.0" encoding="utf-8"?>
<x:worksheet xmlns:x="http://schemas.openxmlformats.org/spreadsheetml/2006/main">
  <x:sheetFormatPr defaultRowHeight="15"/>
  <x:cols>
    <x:col min="1" max="1" width="27" hidden="0" customWidth="1"/>
    <x:col min="2" max="2" width="12" hidden="0" customWidth="1"/>
    <x:col min="3" max="3" width="12" hidden="0" customWidth="1"/>
    <x:col min="4" max="4" width="9" hidden="0" customWidth="1"/>
    <x:col min="5" max="5" width="36" hidden="0" customWidth="1"/>
    <x:col min="6" max="6" width="11" hidden="0" customWidth="1"/>
    <x:col min="7" max="7" width="11" hidden="0" customWidth="1"/>
    <x:col min="8" max="8" width="16" hidden="0" customWidth="1"/>
    <x:col min="9" max="9" width="48" hidden="0" customWidth="1"/>
    <x:col min="10" max="10" width="48" hidden="0" customWidth="1"/>
  </x:cols>
  <x:sheetData>
    <x:row r="1" ht="30" customHeight="1">
      <x:c r="A1" s="143" t="str">
        <x:v>BATTLEFIELD SUPPORT</x:v>
      </x:c>
      <x:c r="B1" s="143"/>
      <x:c r="C1" s="143"/>
      <x:c r="D1" s="143"/>
      <x:c r="E1" s="143"/>
      <x:c r="F1" s="143"/>
      <x:c r="G1" s="143"/>
      <x:c r="H1" s="143"/>
      <x:c r="I1" s="143"/>
      <x:c r="J1" s="143"/>
    </x:row>
    <x:row r="3" ht="38" customHeight="1">
      <x:c r="A3" s="146" t="str">
        <x:v>BSP Scale</x:v>
      </x:c>
      <x:c r="B3" s="146" t="str">
        <x:v>Modern</x:v>
      </x:c>
      <x:c r="D3" s="155" t="str">
        <x:v>Choose Original or Modern in B3. Use only listed units. Clan forces receive 0 BSP. Standard and improved costs are shown separately.</x:v>
      </x:c>
      <x:c r="E3" s="155"/>
      <x:c r="F3" s="155"/>
      <x:c r="G3" s="155"/>
      <x:c r="H3" s="155"/>
      <x:c r="I3" s="155"/>
      <x:c r="J3" s="155"/>
    </x:row>
    <x:row r="4" ht="38" customHeight="1">
      <x:c r="A4" s="147" t="str">
        <x:v>Force Tier</x:v>
      </x:c>
      <x:c r="B4" s="148" t="str">
        <x:v>ComStar BSP</x:v>
      </x:c>
      <x:c r="D4" s="155"/>
      <x:c r="E4" s="155"/>
      <x:c r="F4" s="155"/>
      <x:c r="G4" s="155"/>
      <x:c r="H4" s="155"/>
      <x:c r="I4" s="155"/>
      <x:c r="J4" s="155"/>
    </x:row>
    <x:row r="5">
      <x:c r="A5" s="149" t="str">
        <x:v>Light</x:v>
      </x:c>
      <x:c r="B5" s="150" t="n">
        <x:f>IF($B$3="Original",12,32)</x:f>
        <x:v>32</x:v>
      </x:c>
    </x:row>
    <x:row r="6">
      <x:c r="A6" s="149" t="str">
        <x:v>Medium</x:v>
      </x:c>
      <x:c r="B6" s="150" t="n">
        <x:f>IF($B$3="Original",24,64)</x:f>
        <x:v>64</x:v>
      </x:c>
    </x:row>
    <x:row r="7">
      <x:c r="A7" s="151" t="str">
        <x:v>Heavy</x:v>
      </x:c>
      <x:c r="B7" s="152" t="n">
        <x:f>IF($B$3="Original",36,96)</x:f>
        <x:v>96</x:v>
      </x:c>
    </x:row>
    <x:row r="8" ht="24" customHeight="1">
      <x:c r="A8" s="147" t="str">
        <x:v>BFS Asset</x:v>
      </x:c>
      <x:c r="B8" s="156" t="str">
        <x:v>Standard BSP</x:v>
      </x:c>
      <x:c r="C8" s="156" t="str">
        <x:v>Improved BSP</x:v>
      </x:c>
      <x:c r="D8" s="156" t="str">
        <x:v>MUL ID</x:v>
      </x:c>
      <x:c r="E8" s="156" t="str">
        <x:v>Exact Unit / Variant</x:v>
      </x:c>
      <x:c r="F8" s="156" t="str">
        <x:v>BV</x:v>
      </x:c>
      <x:c r="G8" s="156" t="str">
        <x:v>Intro Year</x:v>
      </x:c>
      <x:c r="H8" s="156" t="str">
        <x:v>Type</x:v>
      </x:c>
      <x:c r="I8" s="156" t="str">
        <x:v>CI Availability</x:v>
      </x:c>
      <x:c r="J8" s="148" t="str">
        <x:v>MUL Record</x:v>
      </x:c>
    </x:row>
    <x:row r="9" ht="30" customHeight="1">
      <x:c r="A9" s="149" t="str">
        <x:v>APC (Hover)</x:v>
      </x:c>
      <x:c r="B9" s="157" t="n">
        <x:v>13</x:v>
      </x:c>
      <x:c r="C9" s="157" t="n">
        <x:v>15</x:v>
      </x:c>
      <x:c r="D9" s="157" t="n">
        <x:v>115</x:v>
      </x:c>
      <x:c r="E9" s="157" t="str">
        <x:v>Armored Personnel Carrier (Hover)</x:v>
      </x:c>
      <x:c r="F9" s="157" t="n">
        <x:v>102</x:v>
      </x:c>
      <x:c r="G9" s="157" t="n">
        <x:v>2500</x:v>
      </x:c>
      <x:c r="H9" s="157" t="str">
        <x:v>Combat Vehicle</x:v>
      </x:c>
      <x:c r="I9" s="161" t="str">
        <x:v>Inner Sphere General</x:v>
      </x:c>
      <x:c r="J9" s="159" t="str">
        <x:v>https://masterunitlist.azurewebsites.net/Unit/Details/115</x:v>
      </x:c>
    </x:row>
    <x:row r="10" ht="30" customHeight="1">
      <x:c r="A10" s="149" t="str">
        <x:v>APC (Tracked)</x:v>
      </x:c>
      <x:c r="B10" s="157" t="n">
        <x:v>13</x:v>
      </x:c>
      <x:c r="C10" s="157" t="n">
        <x:v>15</x:v>
      </x:c>
      <x:c r="D10" s="157" t="n">
        <x:v>120</x:v>
      </x:c>
      <x:c r="E10" s="157" t="str">
        <x:v>Armored Personnel Carrier (Tracked)</x:v>
      </x:c>
      <x:c r="F10" s="157" t="n">
        <x:v>142</x:v>
      </x:c>
      <x:c r="G10" s="157" t="n">
        <x:v>2500</x:v>
      </x:c>
      <x:c r="H10" s="157" t="str">
        <x:v>Combat Vehicle</x:v>
      </x:c>
      <x:c r="I10" s="161" t="str">
        <x:v>Inner Sphere General</x:v>
      </x:c>
      <x:c r="J10" s="159" t="str">
        <x:v>https://masterunitlist.azurewebsites.net/Unit/Details/120</x:v>
      </x:c>
    </x:row>
    <x:row r="11" ht="30" customHeight="1">
      <x:c r="A11" s="149" t="str">
        <x:v>Behemoth Heavy Tank</x:v>
      </x:c>
      <x:c r="B11" s="157" t="n">
        <x:v>32</x:v>
      </x:c>
      <x:c r="C11" s="157" t="n">
        <x:v>37</x:v>
      </x:c>
      <x:c r="D11" s="157" t="n">
        <x:v>324</x:v>
      </x:c>
      <x:c r="E11" s="157" t="str">
        <x:v>Behemoth Heavy Tank (Standard)</x:v>
      </x:c>
      <x:c r="F11" s="157" t="n">
        <x:v>1173</x:v>
      </x:c>
      <x:c r="G11" s="157" t="n">
        <x:v>2952</x:v>
      </x:c>
      <x:c r="H11" s="157" t="str">
        <x:v>Combat Vehicle</x:v>
      </x:c>
      <x:c r="I11" s="161" t="str">
        <x:v>Capellan Confederation; ComStar; Draconis Combine; Federated Commonwealth; Federated Suns; Free Rasalhague Republic; Lyran Alliance; Lyran Commonwealth; Mercenary; Periphery General; St. Ives Compact; Wolf's Dragoons; Word of Blake</x:v>
      </x:c>
      <x:c r="J11" s="159" t="str">
        <x:v>https://masterunitlist.azurewebsites.net/Unit/Details/324</x:v>
      </x:c>
    </x:row>
    <x:row r="12" ht="30" customHeight="1">
      <x:c r="A12" s="149" t="str">
        <x:v>Bulldog Medium Tank</x:v>
      </x:c>
      <x:c r="B12" s="157" t="n">
        <x:v>16</x:v>
      </x:c>
      <x:c r="C12" s="157" t="n">
        <x:v>19</x:v>
      </x:c>
      <x:c r="D12" s="157" t="n">
        <x:v>441</x:v>
      </x:c>
      <x:c r="E12" s="157" t="str">
        <x:v>Bulldog Medium Tank (Standard)</x:v>
      </x:c>
      <x:c r="F12" s="157" t="n">
        <x:v>605</x:v>
      </x:c>
      <x:c r="G12" s="157" t="n">
        <x:v>2673</x:v>
      </x:c>
      <x:c r="H12" s="157" t="str">
        <x:v>Combat Vehicle</x:v>
      </x:c>
      <x:c r="I12" s="161" t="str">
        <x:v>Inner Sphere General; Mercenary; Periphery General; Wolf's Dragoons</x:v>
      </x:c>
      <x:c r="J12" s="159" t="str">
        <x:v>https://masterunitlist.azurewebsites.net/Unit/Details/441</x:v>
      </x:c>
    </x:row>
    <x:row r="13" ht="30" customHeight="1">
      <x:c r="A13" s="149" t="str">
        <x:v>Condor Heavy Hover Tank</x:v>
      </x:c>
      <x:c r="B13" s="157" t="n">
        <x:v>20</x:v>
      </x:c>
      <x:c r="C13" s="157" t="n">
        <x:v>23</x:v>
      </x:c>
      <x:c r="D13" s="157" t="n">
        <x:v>683</x:v>
      </x:c>
      <x:c r="E13" s="157" t="str">
        <x:v>Condor Heavy Hover Tank (Standard)</x:v>
      </x:c>
      <x:c r="F13" s="157" t="n">
        <x:v>653</x:v>
      </x:c>
      <x:c r="G13" s="157" t="n">
        <x:v>2564</x:v>
      </x:c>
      <x:c r="H13" s="157" t="str">
        <x:v>Combat Vehicle</x:v>
      </x:c>
      <x:c r="I13" s="161" t="str">
        <x:v>Inner Sphere General; Mercenary; Periphery General; Wolf's Dragoons</x:v>
      </x:c>
      <x:c r="J13" s="159" t="str">
        <x:v>https://masterunitlist.azurewebsites.net/Unit/Details/683</x:v>
      </x:c>
    </x:row>
    <x:row r="14" ht="30" customHeight="1">
      <x:c r="A14" s="149" t="str">
        <x:v>Coolant Truck (Hover)</x:v>
      </x:c>
      <x:c r="B14" s="157" t="n">
        <x:v>14</x:v>
      </x:c>
      <x:c r="C14" s="157" t="n">
        <x:v>16</x:v>
      </x:c>
      <x:c r="D14" s="157" t="n">
        <x:v>687</x:v>
      </x:c>
      <x:c r="E14" s="157" t="str">
        <x:v>Coolant Truck (Hover)</x:v>
      </x:c>
      <x:c r="F14" s="157" t="n">
        <x:v>347</x:v>
      </x:c>
      <x:c r="G14" s="157" t="n">
        <x:v>2602</x:v>
      </x:c>
      <x:c r="H14" s="157" t="str">
        <x:v>Combat Vehicle</x:v>
      </x:c>
      <x:c r="I14" s="161" t="str">
        <x:v>Inner Sphere General; Mercenary; Periphery General; Wolf's Dragoons</x:v>
      </x:c>
      <x:c r="J14" s="159" t="str">
        <x:v>https://masterunitlist.azurewebsites.net/Unit/Details/687</x:v>
      </x:c>
    </x:row>
    <x:row r="15" ht="30" customHeight="1">
      <x:c r="A15" s="149" t="str">
        <x:v>Coolant Truck 135-K</x:v>
      </x:c>
      <x:c r="B15" s="157" t="n">
        <x:v>10</x:v>
      </x:c>
      <x:c r="C15" s="157" t="n">
        <x:v>12</x:v>
      </x:c>
      <x:c r="D15" s="157" t="n">
        <x:v>689</x:v>
      </x:c>
      <x:c r="E15" s="157" t="str">
        <x:v>Coolant Truck 135-K "Lifesaver"</x:v>
      </x:c>
      <x:c r="F15" s="157" t="n">
        <x:v>321</x:v>
      </x:c>
      <x:c r="G15" s="157" t="n">
        <x:v>2583</x:v>
      </x:c>
      <x:c r="H15" s="157" t="str">
        <x:v>Combat Vehicle</x:v>
      </x:c>
      <x:c r="I15" s="161" t="str">
        <x:v>HW Clan General; Inner Sphere General; IS Clan General; Kell Hounds; Mercenary; Periphery General; Wolf's Dragoons</x:v>
      </x:c>
      <x:c r="J15" s="159" t="str">
        <x:v>https://masterunitlist.azurewebsites.net/Unit/Details/689</x:v>
      </x:c>
    </x:row>
    <x:row r="16" ht="30" customHeight="1">
      <x:c r="A16" s="149" t="str">
        <x:v>Devastator Heavy Tank</x:v>
      </x:c>
      <x:c r="B16" s="157" t="n">
        <x:v>33</x:v>
      </x:c>
      <x:c r="C16" s="157" t="n">
        <x:v>38</x:v>
      </x:c>
      <x:c r="D16" s="157" t="n">
        <x:v>897</x:v>
      </x:c>
      <x:c r="E16" s="157" t="str">
        <x:v>Devastator Heavy Tank (Standard)</x:v>
      </x:c>
      <x:c r="F16" s="157" t="n">
        <x:v>1037</x:v>
      </x:c>
      <x:c r="G16" s="157" t="n">
        <x:v>3003</x:v>
      </x:c>
      <x:c r="H16" s="157" t="str">
        <x:v>Combat Vehicle</x:v>
      </x:c>
      <x:c r="I16" s="161" t="str">
        <x:v>Inner Sphere General</x:v>
      </x:c>
      <x:c r="J16" s="159" t="str">
        <x:v>https://masterunitlist.azurewebsites.net/Unit/Details/897</x:v>
      </x:c>
    </x:row>
    <x:row r="17" ht="30" customHeight="1">
      <x:c r="A17" s="149" t="str">
        <x:v>Drillson Heavy Hover Tank</x:v>
      </x:c>
      <x:c r="B17" s="157" t="n">
        <x:v>18</x:v>
      </x:c>
      <x:c r="C17" s="157" t="n">
        <x:v>21</x:v>
      </x:c>
      <x:c r="D17" s="157" t="n">
        <x:v>932</x:v>
      </x:c>
      <x:c r="E17" s="157" t="str">
        <x:v>Drillson Heavy Hover Tank (Standard)</x:v>
      </x:c>
      <x:c r="F17" s="157" t="n">
        <x:v>949</x:v>
      </x:c>
      <x:c r="G17" s="157" t="n">
        <x:v>3025</x:v>
      </x:c>
      <x:c r="H17" s="157" t="str">
        <x:v>Combat Vehicle</x:v>
      </x:c>
      <x:c r="I17" s="161" t="str">
        <x:v>Inner Sphere General; Mercenary; Periphery General; Wolf's Dragoons</x:v>
      </x:c>
      <x:c r="J17" s="159" t="str">
        <x:v>https://masterunitlist.azurewebsites.net/Unit/Details/932</x:v>
      </x:c>
    </x:row>
    <x:row r="18" ht="30" customHeight="1">
      <x:c r="A18" s="149" t="str">
        <x:v>Galleon GAL-100 Light Tank</x:v>
      </x:c>
      <x:c r="B18" s="157" t="n">
        <x:v>13</x:v>
      </x:c>
      <x:c r="C18" s="157" t="n">
        <x:v>15</x:v>
      </x:c>
      <x:c r="D18" s="157" t="n">
        <x:v>1175</x:v>
      </x:c>
      <x:c r="E18" s="157" t="str">
        <x:v>Galleon Light Tank GAL-100</x:v>
      </x:c>
      <x:c r="F18" s="157" t="n">
        <x:v>309</x:v>
      </x:c>
      <x:c r="G18" s="157" t="n">
        <x:v>2692</x:v>
      </x:c>
      <x:c r="H18" s="157" t="str">
        <x:v>Combat Vehicle</x:v>
      </x:c>
      <x:c r="I18" s="161" t="str">
        <x:v>Inner Sphere General; Kell Hounds; Mercenary; Periphery General; Wolf's Dragoons</x:v>
      </x:c>
      <x:c r="J18" s="159" t="str">
        <x:v>https://masterunitlist.azurewebsites.net/Unit/Details/1175</x:v>
      </x:c>
    </x:row>
    <x:row r="19" ht="30" customHeight="1">
      <x:c r="A19" s="149" t="str">
        <x:v>Galleon GAL-102 Light Tank</x:v>
      </x:c>
      <x:c r="B19" s="157" t="n">
        <x:v>21</x:v>
      </x:c>
      <x:c r="C19" s="157" t="n">
        <x:v>24</x:v>
      </x:c>
      <x:c r="D19" s="157" t="n">
        <x:v>1176</x:v>
      </x:c>
      <x:c r="E19" s="157" t="str">
        <x:v>Galleon Light Tank GAL-102</x:v>
      </x:c>
      <x:c r="F19" s="157" t="n">
        <x:v>651</x:v>
      </x:c>
      <x:c r="G19" s="157" t="n">
        <x:v>3048</x:v>
      </x:c>
      <x:c r="H19" s="157" t="str">
        <x:v>Combat Vehicle</x:v>
      </x:c>
      <x:c r="I19" s="161" t="str">
        <x:v>Inner Sphere General; Kell Hounds; Mercenary; Periphery General; Wolf's Dragoons</x:v>
      </x:c>
      <x:c r="J19" s="159" t="str">
        <x:v>https://masterunitlist.azurewebsites.net/Unit/Details/1176</x:v>
      </x:c>
    </x:row>
    <x:row r="20" ht="30" customHeight="1">
      <x:c r="A20" s="149" t="str">
        <x:v>Hetzer Wheeled Assault Gun</x:v>
      </x:c>
      <x:c r="B20" s="157" t="n">
        <x:v>19</x:v>
      </x:c>
      <x:c r="C20" s="157" t="n">
        <x:v>22</x:v>
      </x:c>
      <x:c r="D20" s="157" t="n">
        <x:v>1513</x:v>
      </x:c>
      <x:c r="E20" s="157" t="str">
        <x:v>Hetzer Wheeled Assault Gun (Standard)</x:v>
      </x:c>
      <x:c r="F20" s="157" t="n">
        <x:v>574</x:v>
      </x:c>
      <x:c r="G20" s="157" t="n">
        <x:v>2887</x:v>
      </x:c>
      <x:c r="H20" s="157" t="str">
        <x:v>Combat Vehicle</x:v>
      </x:c>
      <x:c r="I20" s="161" t="str">
        <x:v>Clan Ghost Bear; Inner Sphere General; Mercenary; Periphery General; Wolf's Dragoons</x:v>
      </x:c>
      <x:c r="J20" s="159" t="str">
        <x:v>https://masterunitlist.azurewebsites.net/Unit/Details/1513</x:v>
      </x:c>
    </x:row>
    <x:row r="21" ht="30" customHeight="1">
      <x:c r="A21" s="149" t="str">
        <x:v>J. Edgar Light Hover Tank</x:v>
      </x:c>
      <x:c r="B21" s="157" t="n">
        <x:v>17</x:v>
      </x:c>
      <x:c r="C21" s="157" t="n">
        <x:v>20</x:v>
      </x:c>
      <x:c r="D21" s="157" t="n">
        <x:v>1641</x:v>
      </x:c>
      <x:c r="E21" s="157" t="str">
        <x:v>J. Edgar Light Hover Tank (Standard)</x:v>
      </x:c>
      <x:c r="F21" s="157" t="n">
        <x:v>544</x:v>
      </x:c>
      <x:c r="G21" s="157" t="n">
        <x:v>2722</x:v>
      </x:c>
      <x:c r="H21" s="157" t="str">
        <x:v>Combat Vehicle</x:v>
      </x:c>
      <x:c r="I21" s="161" t="str">
        <x:v>Clan Jade Falcon; Inner Sphere General; Periphery General</x:v>
      </x:c>
      <x:c r="J21" s="159" t="str">
        <x:v>https://masterunitlist.azurewebsites.net/Unit/Details/1641</x:v>
      </x:c>
    </x:row>
    <x:row r="22" ht="30" customHeight="1">
      <x:c r="A22" s="149" t="str">
        <x:v>LRM Carrier</x:v>
      </x:c>
      <x:c r="B22" s="157" t="n">
        <x:v>28</x:v>
      </x:c>
      <x:c r="C22" s="157" t="n">
        <x:v>32</x:v>
      </x:c>
      <x:c r="D22" s="157" t="n">
        <x:v>1952</x:v>
      </x:c>
      <x:c r="E22" s="157" t="str">
        <x:v>LRM Carrier (Standard)</x:v>
      </x:c>
      <x:c r="F22" s="157" t="n">
        <x:v>833</x:v>
      </x:c>
      <x:c r="G22" s="157" t="n">
        <x:v>2470</x:v>
      </x:c>
      <x:c r="H22" s="157" t="str">
        <x:v>Combat Vehicle</x:v>
      </x:c>
      <x:c r="I22" s="161" t="str">
        <x:v>Clan Ghost Bear; Inner Sphere General; Mercenary; Periphery General; Wolf's Dragoons</x:v>
      </x:c>
      <x:c r="J22" s="159" t="str">
        <x:v>https://masterunitlist.azurewebsites.net/Unit/Details/1952</x:v>
      </x:c>
    </x:row>
    <x:row r="23" ht="30" customHeight="1">
      <x:c r="A23" s="149" t="str">
        <x:v>M.A.S.H. Truck</x:v>
      </x:c>
      <x:c r="B23" s="157" t="n">
        <x:v>13</x:v>
      </x:c>
      <x:c r="C23" s="157" t="n">
        <x:v>15</x:v>
      </x:c>
      <x:c r="D23" s="157" t="n">
        <x:v>1971</x:v>
      </x:c>
      <x:c r="E23" s="157" t="str">
        <x:v>M.A.S.H. Truck (Standard)</x:v>
      </x:c>
      <x:c r="F23" s="157" t="n">
        <x:v>220</x:v>
      </x:c>
      <x:c r="G23" s="157" t="n">
        <x:v>2671</x:v>
      </x:c>
      <x:c r="H23" s="157" t="str">
        <x:v>Combat Vehicle</x:v>
      </x:c>
      <x:c r="I23" s="161" t="str">
        <x:v>HW Clan General; Inner Sphere General; IS Clan General; Kell Hounds; Mercenary; Periphery General; Wolf's Dragoons</x:v>
      </x:c>
      <x:c r="J23" s="159" t="str">
        <x:v>https://masterunitlist.azurewebsites.net/Unit/Details/1971</x:v>
      </x:c>
    </x:row>
    <x:row r="24" ht="30" customHeight="1">
      <x:c r="A24" s="149" t="str">
        <x:v>Manticore Heavy Tank</x:v>
      </x:c>
      <x:c r="B24" s="157" t="n">
        <x:v>21</x:v>
      </x:c>
      <x:c r="C24" s="157" t="n">
        <x:v>24</x:v>
      </x:c>
      <x:c r="D24" s="157" t="n">
        <x:v>2021</x:v>
      </x:c>
      <x:c r="E24" s="157" t="str">
        <x:v>Manticore Heavy Tank (Standard)</x:v>
      </x:c>
      <x:c r="F24" s="157" t="n">
        <x:v>993</x:v>
      </x:c>
      <x:c r="G24" s="157" t="n">
        <x:v>2575</x:v>
      </x:c>
      <x:c r="H24" s="157" t="str">
        <x:v>Combat Vehicle</x:v>
      </x:c>
      <x:c r="I24" s="161" t="str">
        <x:v>Inner Sphere General; Mercenary; Periphery General; Wolf's Dragoons</x:v>
      </x:c>
      <x:c r="J24" s="159" t="str">
        <x:v>https://masterunitlist.azurewebsites.net/Unit/Details/2021</x:v>
      </x:c>
    </x:row>
    <x:row r="25" ht="30" customHeight="1">
      <x:c r="A25" s="149" t="str">
        <x:v>Maxim Hover Transport</x:v>
      </x:c>
      <x:c r="B25" s="157" t="n">
        <x:v>23</x:v>
      </x:c>
      <x:c r="C25" s="157" t="n">
        <x:v>27</x:v>
      </x:c>
      <x:c r="D25" s="157" t="n">
        <x:v>2127</x:v>
      </x:c>
      <x:c r="E25" s="157" t="str">
        <x:v>Maxim Heavy Hover Transport (Standard)</x:v>
      </x:c>
      <x:c r="F25" s="157" t="n">
        <x:v>764</x:v>
      </x:c>
      <x:c r="G25" s="157" t="n">
        <x:v>2689</x:v>
      </x:c>
      <x:c r="H25" s="157" t="str">
        <x:v>Combat Vehicle</x:v>
      </x:c>
      <x:c r="I25" s="161" t="str">
        <x:v>Inner Sphere General; Kell Hounds; Mercenary; Periphery General; Wolf's Dragoons</x:v>
      </x:c>
      <x:c r="J25" s="159" t="str">
        <x:v>https://masterunitlist.azurewebsites.net/Unit/Details/2127</x:v>
      </x:c>
    </x:row>
    <x:row r="26" ht="30" customHeight="1">
      <x:c r="A26" s="149" t="str">
        <x:v>Mobile HQ</x:v>
      </x:c>
      <x:c r="B26" s="157" t="n">
        <x:v>29</x:v>
      </x:c>
      <x:c r="C26" s="157" t="n">
        <x:v>34</x:v>
      </x:c>
      <x:c r="D26" s="157" t="n">
        <x:v>2201</x:v>
      </x:c>
      <x:c r="E26" s="157" t="str">
        <x:v>Mobile Headquarters (Standard)</x:v>
      </x:c>
      <x:c r="F26" s="157" t="n">
        <x:v>319</x:v>
      </x:c>
      <x:c r="G26" s="157" t="n">
        <x:v>2620</x:v>
      </x:c>
      <x:c r="H26" s="157" t="str">
        <x:v>Combat Vehicle</x:v>
      </x:c>
      <x:c r="I26" s="161" t="str">
        <x:v>Inner Sphere General; Wolf's Dragoons</x:v>
      </x:c>
      <x:c r="J26" s="159" t="str">
        <x:v>https://masterunitlist.azurewebsites.net/Unit/Details/2201</x:v>
      </x:c>
    </x:row>
    <x:row r="27" ht="30" customHeight="1">
      <x:c r="A27" s="149" t="str">
        <x:v>Mobile Long Tom LT-MOB-25</x:v>
      </x:c>
      <x:c r="B27" s="157" t="n">
        <x:v>66</x:v>
      </x:c>
      <x:c r="C27" s="157" t="n">
        <x:v>66</x:v>
      </x:c>
      <x:c r="D27" s="157" t="n">
        <x:v>2202</x:v>
      </x:c>
      <x:c r="E27" s="157" t="str">
        <x:v>Mobile Long Tom Artillery LT-MOB-25</x:v>
      </x:c>
      <x:c r="F27" s="157" t="n">
        <x:v>515</x:v>
      </x:c>
      <x:c r="G27" s="157" t="n">
        <x:v>2602</x:v>
      </x:c>
      <x:c r="H27" s="157" t="str">
        <x:v>Combat Vehicle</x:v>
      </x:c>
      <x:c r="I27" s="161" t="str">
        <x:v>HW Clan General; Inner Sphere General; IS Clan General; Mercenary; Periphery General; Wolf's Dragoons</x:v>
      </x:c>
      <x:c r="J27" s="159" t="str">
        <x:v>https://masterunitlist.azurewebsites.net/Unit/Details/2202</x:v>
      </x:c>
    </x:row>
    <x:row r="28" ht="30" customHeight="1">
      <x:c r="A28" s="149" t="str">
        <x:v>Pegasus Scout Hover Tank</x:v>
      </x:c>
      <x:c r="B28" s="157" t="n">
        <x:v>23</x:v>
      </x:c>
      <x:c r="C28" s="157" t="n">
        <x:v>27</x:v>
      </x:c>
      <x:c r="D28" s="157" t="n">
        <x:v>2461</x:v>
      </x:c>
      <x:c r="E28" s="157" t="str">
        <x:v>Pegasus Scout Hover Tank (Standard)</x:v>
      </x:c>
      <x:c r="F28" s="157" t="n">
        <x:v>640</x:v>
      </x:c>
      <x:c r="G28" s="157" t="n">
        <x:v>2791</x:v>
      </x:c>
      <x:c r="H28" s="157" t="str">
        <x:v>Combat Vehicle</x:v>
      </x:c>
      <x:c r="I28" s="161" t="str">
        <x:v>Clan Wolf (in Exile); Inner Sphere General; Mercenary; Periphery General; Wolf's Dragoons</x:v>
      </x:c>
      <x:c r="J28" s="159" t="str">
        <x:v>https://masterunitlist.azurewebsites.net/Unit/Details/2461</x:v>
      </x:c>
    </x:row>
    <x:row r="29" ht="30" customHeight="1">
      <x:c r="A29" s="149" t="str">
        <x:v>Pike Support Vehicle</x:v>
      </x:c>
      <x:c r="B29" s="157" t="n">
        <x:v>17</x:v>
      </x:c>
      <x:c r="C29" s="157" t="n">
        <x:v>20</x:v>
      </x:c>
      <x:c r="D29" s="157" t="n">
        <x:v>2523</x:v>
      </x:c>
      <x:c r="E29" s="157" t="str">
        <x:v>Pike Support Vehicle (Standard)</x:v>
      </x:c>
      <x:c r="F29" s="157" t="n">
        <x:v>648</x:v>
      </x:c>
      <x:c r="G29" s="157" t="n">
        <x:v>2987</x:v>
      </x:c>
      <x:c r="H29" s="157" t="str">
        <x:v>Combat Vehicle</x:v>
      </x:c>
      <x:c r="I29" s="161" t="str">
        <x:v>Inner Sphere General; Mercenary; Periphery General; Wolf's Dragoons</x:v>
      </x:c>
      <x:c r="J29" s="159" t="str">
        <x:v>https://masterunitlist.azurewebsites.net/Unit/Details/2523</x:v>
      </x:c>
    </x:row>
    <x:row r="30" ht="30" customHeight="1">
      <x:c r="A30" s="149" t="str">
        <x:v>Schrek AC Carrier</x:v>
      </x:c>
      <x:c r="B30" s="157" t="n">
        <x:v>23</x:v>
      </x:c>
      <x:c r="C30" s="157" t="n">
        <x:v>27</x:v>
      </x:c>
      <x:c r="D30" s="157" t="n">
        <x:v>2822</x:v>
      </x:c>
      <x:c r="E30" s="157" t="str">
        <x:v>Schrek AC Carrier (Standard)</x:v>
      </x:c>
      <x:c r="F30" s="157" t="n">
        <x:v>773</x:v>
      </x:c>
      <x:c r="G30" s="157" t="n">
        <x:v>2916</x:v>
      </x:c>
      <x:c r="H30" s="157" t="str">
        <x:v>Combat Vehicle</x:v>
      </x:c>
      <x:c r="I30" s="161" t="str">
        <x:v>Inner Sphere General; Mercenary; Periphery General</x:v>
      </x:c>
      <x:c r="J30" s="159" t="str">
        <x:v>https://masterunitlist.azurewebsites.net/Unit/Details/2822</x:v>
      </x:c>
    </x:row>
    <x:row r="31" ht="30" customHeight="1">
      <x:c r="A31" s="149" t="str">
        <x:v>Schrek PPC Carrier</x:v>
      </x:c>
      <x:c r="B31" s="157" t="n">
        <x:v>31</x:v>
      </x:c>
      <x:c r="C31" s="157" t="n">
        <x:v>36</x:v>
      </x:c>
      <x:c r="D31" s="157" t="n">
        <x:v>2827</x:v>
      </x:c>
      <x:c r="E31" s="157" t="str">
        <x:v>Schrek PPC Carrier (Standard)</x:v>
      </x:c>
      <x:c r="F31" s="157" t="n">
        <x:v>935</x:v>
      </x:c>
      <x:c r="G31" s="157" t="n">
        <x:v>2813</x:v>
      </x:c>
      <x:c r="H31" s="157" t="str">
        <x:v>Combat Vehicle</x:v>
      </x:c>
      <x:c r="I31" s="161" t="str">
        <x:v>Inner Sphere General; Mercenary; Periphery General</x:v>
      </x:c>
      <x:c r="J31" s="159" t="str">
        <x:v>https://masterunitlist.azurewebsites.net/Unit/Details/2827</x:v>
      </x:c>
    </x:row>
    <x:row r="32" ht="30" customHeight="1">
      <x:c r="A32" s="149" t="str">
        <x:v>Skulker Wheeled Scout Tank</x:v>
      </x:c>
      <x:c r="B32" s="157" t="n">
        <x:v>14</x:v>
      </x:c>
      <x:c r="C32" s="157" t="n">
        <x:v>16</x:v>
      </x:c>
      <x:c r="D32" s="157" t="n">
        <x:v>2958</x:v>
      </x:c>
      <x:c r="E32" s="157" t="str">
        <x:v>Skulker Wheeled Scout Tank (Standard)</x:v>
      </x:c>
      <x:c r="F32" s="157" t="n">
        <x:v>314</x:v>
      </x:c>
      <x:c r="G32" s="157" t="n">
        <x:v>2659</x:v>
      </x:c>
      <x:c r="H32" s="157" t="str">
        <x:v>Combat Vehicle</x:v>
      </x:c>
      <x:c r="I32" s="161" t="str">
        <x:v>Clan Ghost Bear; Inner Sphere General</x:v>
      </x:c>
      <x:c r="J32" s="159" t="str">
        <x:v>https://masterunitlist.azurewebsites.net/Unit/Details/2958</x:v>
      </x:c>
    </x:row>
    <x:row r="33" ht="30" customHeight="1">
      <x:c r="A33" s="149" t="str">
        <x:v>Skulker Wheeled Scout Tank (SRM)</x:v>
      </x:c>
      <x:c r="B33" s="157" t="n">
        <x:v>14</x:v>
      </x:c>
      <x:c r="C33" s="157" t="n">
        <x:v>16</x:v>
      </x:c>
      <x:c r="D33" s="157" t="n">
        <x:v>2957</x:v>
      </x:c>
      <x:c r="E33" s="157" t="str">
        <x:v>Skulker Wheeled Scout Tank (SRM)</x:v>
      </x:c>
      <x:c r="F33" s="157" t="n">
        <x:v>319</x:v>
      </x:c>
      <x:c r="G33" s="157" t="n">
        <x:v>2901</x:v>
      </x:c>
      <x:c r="H33" s="157" t="str">
        <x:v>Combat Vehicle</x:v>
      </x:c>
      <x:c r="I33" s="161" t="str">
        <x:v>Inner Sphere General</x:v>
      </x:c>
      <x:c r="J33" s="159" t="str">
        <x:v>https://masterunitlist.azurewebsites.net/Unit/Details/2957</x:v>
      </x:c>
    </x:row>
    <x:row r="34" ht="30" customHeight="1">
      <x:c r="A34" s="149" t="str">
        <x:v>SRM Carrier</x:v>
      </x:c>
      <x:c r="B34" s="157" t="n">
        <x:v>31</x:v>
      </x:c>
      <x:c r="C34" s="157" t="n">
        <x:v>36</x:v>
      </x:c>
      <x:c r="D34" s="157" t="n">
        <x:v>3030</x:v>
      </x:c>
      <x:c r="E34" s="157" t="str">
        <x:v>SRM Carrier (Standard)</x:v>
      </x:c>
      <x:c r="F34" s="157" t="n">
        <x:v>816</x:v>
      </x:c>
      <x:c r="G34" s="157" t="n">
        <x:v>2470</x:v>
      </x:c>
      <x:c r="H34" s="157" t="str">
        <x:v>Combat Vehicle</x:v>
      </x:c>
      <x:c r="I34" s="161" t="str">
        <x:v>Clan Jade Falcon; Inner Sphere General; Mercenary; Periphery General; Wolf's Dragoons</x:v>
      </x:c>
      <x:c r="J34" s="159" t="str">
        <x:v>https://masterunitlist.azurewebsites.net/Unit/Details/3030</x:v>
      </x:c>
    </x:row>
    <x:row r="35" ht="30" customHeight="1">
      <x:c r="A35" s="149" t="str">
        <x:v>Vedette Medium Tank</x:v>
      </x:c>
      <x:c r="B35" s="157" t="n">
        <x:v>16</x:v>
      </x:c>
      <x:c r="C35" s="157" t="n">
        <x:v>19</x:v>
      </x:c>
      <x:c r="D35" s="157" t="n">
        <x:v>3395</x:v>
      </x:c>
      <x:c r="E35" s="157" t="str">
        <x:v>Vedette Medium Tank (Standard)</x:v>
      </x:c>
      <x:c r="F35" s="157" t="n">
        <x:v>475</x:v>
      </x:c>
      <x:c r="G35" s="157" t="n">
        <x:v>2943</x:v>
      </x:c>
      <x:c r="H35" s="157" t="str">
        <x:v>Combat Vehicle</x:v>
      </x:c>
      <x:c r="I35" s="161" t="str">
        <x:v>Clan Ghost Bear; Inner Sphere General; Mercenary; Periphery General; Wolf's Dragoons</x:v>
      </x:c>
      <x:c r="J35" s="159" t="str">
        <x:v>https://masterunitlist.azurewebsites.net/Unit/Details/3395</x:v>
      </x:c>
    </x:row>
    <x:row r="36" ht="30" customHeight="1">
      <x:c r="A36" s="149" t="str">
        <x:v>Von Luckner VNL-K65N</x:v>
      </x:c>
      <x:c r="B36" s="157" t="n">
        <x:v>31</x:v>
      </x:c>
      <x:c r="C36" s="157" t="n">
        <x:v>36</x:v>
      </x:c>
      <x:c r="D36" s="157" t="n">
        <x:v>3452</x:v>
      </x:c>
      <x:c r="E36" s="157" t="str">
        <x:v>Von Luckner Heavy Tank VNL-K65N</x:v>
      </x:c>
      <x:c r="F36" s="157" t="n">
        <x:v>1100</x:v>
      </x:c>
      <x:c r="G36" s="157" t="n">
        <x:v>2612</x:v>
      </x:c>
      <x:c r="H36" s="157" t="str">
        <x:v>Combat Vehicle</x:v>
      </x:c>
      <x:c r="I36" s="161" t="str">
        <x:v>Inner Sphere General</x:v>
      </x:c>
      <x:c r="J36" s="159" t="str">
        <x:v>https://masterunitlist.azurewebsites.net/Unit/Details/3452</x:v>
      </x:c>
    </x:row>
    <x:row r="37" ht="30" customHeight="1">
      <x:c r="A37" s="149" t="str">
        <x:v>Warrior H-7 Attack Helicopter</x:v>
      </x:c>
      <x:c r="B37" s="157" t="n">
        <x:v>12</x:v>
      </x:c>
      <x:c r="C37" s="157" t="n">
        <x:v>14</x:v>
      </x:c>
      <x:c r="D37" s="157" t="n">
        <x:v>3513</x:v>
      </x:c>
      <x:c r="E37" s="157" t="str">
        <x:v>Warrior Attack Helicopter H-7</x:v>
      </x:c>
      <x:c r="F37" s="157" t="n">
        <x:v>295</x:v>
      </x:c>
      <x:c r="G37" s="157" t="n">
        <x:v>2957</x:v>
      </x:c>
      <x:c r="H37" s="157" t="str">
        <x:v>Combat Vehicle</x:v>
      </x:c>
      <x:c r="I37" s="161" t="str">
        <x:v>Inner Sphere General; Mercenary; Periphery General; Wolf's Dragoons</x:v>
      </x:c>
      <x:c r="J37" s="159" t="str">
        <x:v>https://masterunitlist.azurewebsites.net/Unit/Details/3513</x:v>
      </x:c>
    </x:row>
    <x:row r="38" ht="30" customHeight="1">
      <x:c r="A38" s="149" t="str">
        <x:v>Warrior H-7C Attack Helicopter</x:v>
      </x:c>
      <x:c r="B38" s="157" t="n">
        <x:v>15</x:v>
      </x:c>
      <x:c r="C38" s="157" t="n">
        <x:v>17</x:v>
      </x:c>
      <x:c r="D38" s="157" t="n">
        <x:v>3515</x:v>
      </x:c>
      <x:c r="E38" s="157" t="str">
        <x:v>Warrior Attack Helicopter H-7C</x:v>
      </x:c>
      <x:c r="F38" s="157" t="n">
        <x:v>446</x:v>
      </x:c>
      <x:c r="G38" s="157" t="n">
        <x:v>2974</x:v>
      </x:c>
      <x:c r="H38" s="157" t="str">
        <x:v>Combat Vehicle</x:v>
      </x:c>
      <x:c r="I38" s="161" t="str">
        <x:v>Inner Sphere General; Mercenary; Periphery General; Wolf's Dragoons</x:v>
      </x:c>
      <x:c r="J38" s="159" t="str">
        <x:v>https://masterunitlist.azurewebsites.net/Unit/Details/3515</x:v>
      </x:c>
    </x:row>
    <x:row r="39" ht="30" customHeight="1">
      <x:c r="A39" s="149" t="str">
        <x:v>Battle Armor (IS Standard)</x:v>
      </x:c>
      <x:c r="B39" s="157" t="n">
        <x:v>13</x:v>
      </x:c>
      <x:c r="C39" s="157" t="n">
        <x:v>15</x:v>
      </x:c>
      <x:c r="D39" s="157" t="n">
        <x:v>1628</x:v>
      </x:c>
      <x:c r="E39" s="157" t="str">
        <x:v>IS Standard Battle Armor [Flamer]</x:v>
      </x:c>
      <x:c r="F39" s="157" t="n">
        <x:v>199</x:v>
      </x:c>
      <x:c r="G39" s="157" t="n">
        <x:v>3052</x:v>
      </x:c>
      <x:c r="H39" s="157" t="str">
        <x:v>Infantry</x:v>
      </x:c>
      <x:c r="I39" s="161" t="str">
        <x:v>Capellan Confederation; Draconis Combine; Federated Commonwealth; Federated Suns; Free Rasalhague Republic; Free Worlds League; Kell Hounds; Lyran Alliance; Lyran Commonwealth; Mercenary; St. Ives Compact; Star League (Second)</x:v>
      </x:c>
      <x:c r="J39" s="159" t="str">
        <x:v>https://masterunitlist.azurewebsites.net/Unit/Details/1628</x:v>
      </x:c>
    </x:row>
    <x:row r="40" ht="30" customHeight="1">
      <x:c r="A40" s="149" t="str">
        <x:v>Battle Armor (IS Standard)</x:v>
      </x:c>
      <x:c r="B40" s="157" t="n">
        <x:v>13</x:v>
      </x:c>
      <x:c r="C40" s="157" t="n">
        <x:v>15</x:v>
      </x:c>
      <x:c r="D40" s="157" t="n">
        <x:v>1629</x:v>
      </x:c>
      <x:c r="E40" s="157" t="str">
        <x:v>IS Standard Battle Armor [Laser]</x:v>
      </x:c>
      <x:c r="F40" s="157" t="n">
        <x:v>231</x:v>
      </x:c>
      <x:c r="G40" s="157" t="n">
        <x:v>3052</x:v>
      </x:c>
      <x:c r="H40" s="157" t="str">
        <x:v>Infantry</x:v>
      </x:c>
      <x:c r="I40" s="161" t="str">
        <x:v>Capellan Confederation; Draconis Combine; Federated Commonwealth; Federated Suns; Free Rasalhague Republic; Free Worlds League; Kell Hounds; Lyran Alliance; Lyran Commonwealth; Mercenary; St. Ives Compact; Star League (Second)</x:v>
      </x:c>
      <x:c r="J40" s="159" t="str">
        <x:v>https://masterunitlist.azurewebsites.net/Unit/Details/1629</x:v>
      </x:c>
    </x:row>
    <x:row r="41" ht="30" customHeight="1">
      <x:c r="A41" s="149" t="str">
        <x:v>Battle Armor (IS Standard)</x:v>
      </x:c>
      <x:c r="B41" s="157" t="n">
        <x:v>13</x:v>
      </x:c>
      <x:c r="C41" s="157" t="n">
        <x:v>15</x:v>
      </x:c>
      <x:c r="D41" s="157" t="n">
        <x:v>1631</x:v>
      </x:c>
      <x:c r="E41" s="157" t="str">
        <x:v>IS Standard Battle Armor [MG]</x:v>
      </x:c>
      <x:c r="F41" s="157" t="n">
        <x:v>199</x:v>
      </x:c>
      <x:c r="G41" s="157" t="n">
        <x:v>3052</x:v>
      </x:c>
      <x:c r="H41" s="157" t="str">
        <x:v>Infantry</x:v>
      </x:c>
      <x:c r="I41" s="161" t="str">
        <x:v>Capellan Confederation; Draconis Combine; Federated Commonwealth; Federated Suns; Free Rasalhague Republic; Free Worlds League; Kell Hounds; Lyran Alliance; Lyran Commonwealth; Mercenary; St. Ives Compact; Star League (Second)</x:v>
      </x:c>
      <x:c r="J41" s="159" t="str">
        <x:v>https://masterunitlist.azurewebsites.net/Unit/Details/1631</x:v>
      </x:c>
    </x:row>
    <x:row r="42" ht="30" customHeight="1">
      <x:c r="A42" s="149" t="str">
        <x:v>Battle Armor (IS Standard)</x:v>
      </x:c>
      <x:c r="B42" s="157" t="n">
        <x:v>13</x:v>
      </x:c>
      <x:c r="C42" s="157" t="n">
        <x:v>15</x:v>
      </x:c>
      <x:c r="D42" s="157" t="n">
        <x:v>1632</x:v>
      </x:c>
      <x:c r="E42" s="157" t="str">
        <x:v>IS Standard Battle Armor [SRM]</x:v>
      </x:c>
      <x:c r="F42" s="157" t="n">
        <x:v>175</x:v>
      </x:c>
      <x:c r="G42" s="157" t="n">
        <x:v>3052</x:v>
      </x:c>
      <x:c r="H42" s="157" t="str">
        <x:v>Infantry</x:v>
      </x:c>
      <x:c r="I42" s="161" t="str">
        <x:v>Capellan Confederation; Draconis Combine; Federated Commonwealth; Federated Suns; Free Rasalhague Republic; Free Worlds League; Kell Hounds; Lyran Alliance; Lyran Commonwealth; Mercenary; St. Ives Compact; Star League (Second)</x:v>
      </x:c>
      <x:c r="J42" s="159" t="str">
        <x:v>https://masterunitlist.azurewebsites.net/Unit/Details/1632</x:v>
      </x:c>
    </x:row>
    <x:row r="43" ht="30" customHeight="1">
      <x:c r="A43" s="149" t="str">
        <x:v>Mobile HQ (Browning)</x:v>
      </x:c>
      <x:c r="B43" s="157" t="n">
        <x:v>18</x:v>
      </x:c>
      <x:c r="C43" s="157" t="n">
        <x:v>21</x:v>
      </x:c>
      <x:c r="D43" s="157" t="n">
        <x:v>9399</x:v>
      </x:c>
      <x:c r="E43" s="157" t="str">
        <x:v>Browning Mobile Headquarters</x:v>
      </x:c>
      <x:c r="F43" s="157" t="n">
        <x:v>365</x:v>
      </x:c>
      <x:c r="G43" s="157" t="n">
        <x:v>2625</x:v>
      </x:c>
      <x:c r="H43" s="157" t="str">
        <x:v>Combat Vehicle</x:v>
      </x:c>
      <x:c r="I43" s="161" t="str">
        <x:v>ComStar</x:v>
      </x:c>
      <x:c r="J43" s="159" t="str">
        <x:v>https://masterunitlist.azurewebsites.net/Unit/Details/9399</x:v>
      </x:c>
    </x:row>
    <x:row r="44" ht="30" customHeight="1">
      <x:c r="A44" s="149" t="str">
        <x:v>CI (Foot)</x:v>
      </x:c>
      <x:c r="B44" s="157" t="n">
        <x:v>7</x:v>
      </x:c>
      <x:c r="C44" s="157" t="n">
        <x:v>8</x:v>
      </x:c>
      <x:c r="D44" s="157" t="n">
        <x:v>1143</x:v>
      </x:c>
      <x:c r="E44" s="157" t="str">
        <x:v>Foot Platoon (Flamer)</x:v>
      </x:c>
      <x:c r="F44" s="157" t="n">
        <x:v>74</x:v>
      </x:c>
      <x:c r="G44" s="157" t="n">
        <x:v>2025</x:v>
      </x:c>
      <x:c r="H44" s="157" t="str">
        <x:v>Infantry</x:v>
      </x:c>
      <x:c r="I44" s="161" t="str">
        <x:v>Inner Sphere General</x:v>
      </x:c>
      <x:c r="J44" s="159" t="str">
        <x:v>https://masterunitlist.azurewebsites.net/Unit/Details/1143</x:v>
      </x:c>
    </x:row>
    <x:row r="45" ht="30" customHeight="1">
      <x:c r="A45" s="149" t="str">
        <x:v>CI (Mechanized)</x:v>
      </x:c>
      <x:c r="B45" s="157" t="n">
        <x:v>12</x:v>
      </x:c>
      <x:c r="C45" s="157" t="n">
        <x:v>14</x:v>
      </x:c>
      <x:c r="D45" s="157" t="n">
        <x:v>2138</x:v>
      </x:c>
      <x:c r="E45" s="157" t="str">
        <x:v>Mechanized Tracked Platoon (Flamer)</x:v>
      </x:c>
      <x:c r="F45" s="157" t="n">
        <x:v>66</x:v>
      </x:c>
      <x:c r="G45" s="157" t="n">
        <x:v>2025</x:v>
      </x:c>
      <x:c r="H45" s="157" t="str">
        <x:v>Infantry</x:v>
      </x:c>
      <x:c r="I45" s="161" t="str">
        <x:v>Inner Sphere General</x:v>
      </x:c>
      <x:c r="J45" s="159" t="str">
        <x:v>https://masterunitlist.azurewebsites.net/Unit/Details/2138</x:v>
      </x:c>
    </x:row>
    <x:row r="46" ht="30" customHeight="1">
      <x:c r="A46" s="151" t="str">
        <x:v>CI (Jump)</x:v>
      </x:c>
      <x:c r="B46" s="158" t="n">
        <x:v>12</x:v>
      </x:c>
      <x:c r="C46" s="158" t="n">
        <x:v>14</x:v>
      </x:c>
      <x:c r="D46" s="158" t="n">
        <x:v>1718</x:v>
      </x:c>
      <x:c r="E46" s="158" t="str">
        <x:v>Jump Platoon (Flamer)</x:v>
      </x:c>
      <x:c r="F46" s="158" t="n">
        <x:v>70</x:v>
      </x:c>
      <x:c r="G46" s="158" t="n">
        <x:v>2025</x:v>
      </x:c>
      <x:c r="H46" s="158" t="str">
        <x:v>Infantry</x:v>
      </x:c>
      <x:c r="I46" s="162" t="str">
        <x:v>Inner Sphere General</x:v>
      </x:c>
      <x:c r="J46" s="160" t="str">
        <x:v>https://masterunitlist.azurewebsites.net/Unit/Details/1718</x:v>
      </x:c>
    </x:row>
  </x:sheetData>
  <x:mergeCells>
    <x:mergeCell ref="A1:J1"/>
    <x:mergeCell ref="D3:J4"/>
  </x:mergeCells>
  <x:dataValidations count="1">
    <x:dataValidation type="list" sqref="B3">
      <x:formula1>"Original,Modern"</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40" hidden="0" customWidth="1"/>
    <x:col min="2" max="2" width="13" hidden="0" customWidth="1"/>
    <x:col min="3" max="3" width="13" hidden="0" customWidth="1"/>
    <x:col min="4" max="4" width="28" hidden="0" customWidth="1"/>
  </x:cols>
  <x:sheetData>
    <x:row r="1" ht="30" customHeight="1">
      <x:c r="A1" s="143" t="str">
        <x:v>EMPLACEMENTS — TRACK-SPECIFIC ONLY</x:v>
      </x:c>
      <x:c r="B1" s="143"/>
      <x:c r="C1" s="143"/>
      <x:c r="D1" s="143"/>
    </x:row>
    <x:row r="3" ht="36" customHeight="1">
      <x:c r="A3" s="155" t="str">
        <x:v>Not available from the general BSP catalog. Use only when a Track or Option explicitly grants the emplacement.</x:v>
      </x:c>
      <x:c r="B3" s="155"/>
      <x:c r="C3" s="155"/>
      <x:c r="D3" s="155"/>
    </x:row>
    <x:row r="5" ht="24" customHeight="1">
      <x:c r="A5" s="147" t="str">
        <x:v>Emplacement</x:v>
      </x:c>
      <x:c r="B5" s="156" t="str">
        <x:v>Standard BSP</x:v>
      </x:c>
      <x:c r="C5" s="156" t="str">
        <x:v>Improved BSP</x:v>
      </x:c>
      <x:c r="D5" s="148" t="str">
        <x:v>Availability</x:v>
      </x:c>
    </x:row>
    <x:row r="6">
      <x:c r="A6" s="149" t="str">
        <x:v>Castle Brian Turret (AP)</x:v>
      </x:c>
      <x:c r="B6" s="157" t="n">
        <x:v>12</x:v>
      </x:c>
      <x:c r="C6" s="157" t="n">
        <x:v>14</x:v>
      </x:c>
      <x:c r="D6" s="150" t="str">
        <x:v>Track/Option grant only</x:v>
      </x:c>
    </x:row>
    <x:row r="7">
      <x:c r="A7" s="149" t="str">
        <x:v>Emplacement (Heavy)</x:v>
      </x:c>
      <x:c r="B7" s="157" t="n">
        <x:v>13</x:v>
      </x:c>
      <x:c r="C7" s="157" t="n">
        <x:v>15</x:v>
      </x:c>
      <x:c r="D7" s="150" t="str">
        <x:v>Track/Option grant only</x:v>
      </x:c>
    </x:row>
    <x:row r="8">
      <x:c r="A8" s="149" t="str">
        <x:v>Emplacement (Light)</x:v>
      </x:c>
      <x:c r="B8" s="157" t="n">
        <x:v>13</x:v>
      </x:c>
      <x:c r="C8" s="157" t="n">
        <x:v>15</x:v>
      </x:c>
      <x:c r="D8" s="150" t="str">
        <x:v>Track/Option grant only</x:v>
      </x:c>
    </x:row>
    <x:row r="9">
      <x:c r="A9" s="149" t="str">
        <x:v>Emplacement (Medium)</x:v>
      </x:c>
      <x:c r="B9" s="157" t="n">
        <x:v>13</x:v>
      </x:c>
      <x:c r="C9" s="157" t="n">
        <x:v>15</x:v>
      </x:c>
      <x:c r="D9" s="150" t="str">
        <x:v>Track/Option grant only</x:v>
      </x:c>
    </x:row>
    <x:row r="10">
      <x:c r="A10" s="149" t="str">
        <x:v>Emplacement (MG Nest)</x:v>
      </x:c>
      <x:c r="B10" s="157" t="n">
        <x:v>8</x:v>
      </x:c>
      <x:c r="C10" s="157" t="n">
        <x:v>9</x:v>
      </x:c>
      <x:c r="D10" s="150" t="str">
        <x:v>Track/Option grant only</x:v>
      </x:c>
    </x:row>
    <x:row r="11">
      <x:c r="A11" s="149" t="str">
        <x:v>Hardened Gun Emplacement (AC/10)</x:v>
      </x:c>
      <x:c r="B11" s="157" t="n">
        <x:v>24</x:v>
      </x:c>
      <x:c r="C11" s="157" t="n">
        <x:v>28</x:v>
      </x:c>
      <x:c r="D11" s="150" t="str">
        <x:v>Track/Option grant only</x:v>
      </x:c>
    </x:row>
    <x:row r="12">
      <x:c r="A12" s="149" t="str">
        <x:v>Hardened Gun Emplacement (LB10-X)</x:v>
      </x:c>
      <x:c r="B12" s="157" t="n">
        <x:v>20</x:v>
      </x:c>
      <x:c r="C12" s="157" t="n">
        <x:v>23</x:v>
      </x:c>
      <x:c r="D12" s="150" t="str">
        <x:v>Track/Option grant only</x:v>
      </x:c>
    </x:row>
    <x:row r="13">
      <x:c r="A13" s="149" t="str">
        <x:v>Heavy Calliope Turret</x:v>
      </x:c>
      <x:c r="B13" s="157" t="n">
        <x:v>22</x:v>
      </x:c>
      <x:c r="C13" s="157" t="n">
        <x:v>26</x:v>
      </x:c>
      <x:c r="D13" s="150" t="str">
        <x:v>Track/Option grant only</x:v>
      </x:c>
    </x:row>
    <x:row r="14">
      <x:c r="A14" s="149" t="str">
        <x:v>Heavy Fortress Turret (AC)</x:v>
      </x:c>
      <x:c r="B14" s="157" t="n">
        <x:v>14</x:v>
      </x:c>
      <x:c r="C14" s="157" t="n">
        <x:v>16</x:v>
      </x:c>
      <x:c r="D14" s="150" t="str">
        <x:v>Track/Option grant only</x:v>
      </x:c>
    </x:row>
    <x:row r="15">
      <x:c r="A15" s="149" t="str">
        <x:v>Heavy Fortress Turret (LL)</x:v>
      </x:c>
      <x:c r="B15" s="157" t="n">
        <x:v>24</x:v>
      </x:c>
      <x:c r="C15" s="157" t="n">
        <x:v>28</x:v>
      </x:c>
      <x:c r="D15" s="150" t="str">
        <x:v>Track/Option grant only</x:v>
      </x:c>
    </x:row>
    <x:row r="16">
      <x:c r="A16" s="149" t="str">
        <x:v>Light Calliope Turret</x:v>
      </x:c>
      <x:c r="B16" s="157" t="n">
        <x:v>14</x:v>
      </x:c>
      <x:c r="C16" s="157" t="n">
        <x:v>16</x:v>
      </x:c>
      <x:c r="D16" s="150" t="str">
        <x:v>Track/Option grant only</x:v>
      </x:c>
    </x:row>
    <x:row r="17">
      <x:c r="A17" s="149" t="str">
        <x:v>Light Fortress Turret (AC)</x:v>
      </x:c>
      <x:c r="B17" s="157" t="n">
        <x:v>11</x:v>
      </x:c>
      <x:c r="C17" s="157" t="n">
        <x:v>13</x:v>
      </x:c>
      <x:c r="D17" s="150" t="str">
        <x:v>Track/Option grant only</x:v>
      </x:c>
    </x:row>
    <x:row r="18">
      <x:c r="A18" s="151" t="str">
        <x:v>Light Fortress Turret (LL)</x:v>
      </x:c>
      <x:c r="B18" s="158" t="n">
        <x:v>15</x:v>
      </x:c>
      <x:c r="C18" s="158" t="n">
        <x:v>17</x:v>
      </x:c>
      <x:c r="D18" s="152" t="str">
        <x:v>Track/Option grant only</x:v>
      </x:c>
    </x:row>
  </x:sheetData>
  <x:mergeCells>
    <x:mergeCell ref="A1:D1"/>
    <x:mergeCell ref="A3:D3"/>
  </x:mergeCells>
  <x:pageMargins left="0.7" right="0.7" top="0.75" bottom="0.75" header="0.3" footer="0.3"/>
</x:worksheet>
</file>